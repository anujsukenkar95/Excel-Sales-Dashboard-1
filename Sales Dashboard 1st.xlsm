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AIBA 11\Downloads\"/>
    </mc:Choice>
  </mc:AlternateContent>
  <xr:revisionPtr revIDLastSave="0" documentId="13_ncr:1_{79251F47-D9C1-4EC7-A0DB-196B59965B05}" xr6:coauthVersionLast="47" xr6:coauthVersionMax="47" xr10:uidLastSave="{00000000-0000-0000-0000-000000000000}"/>
  <bookViews>
    <workbookView xWindow="-120" yWindow="-120" windowWidth="29040" windowHeight="15720" activeTab="1" xr2:uid="{00000000-000D-0000-FFFF-FFFF00000000}"/>
  </bookViews>
  <sheets>
    <sheet name="Source Data" sheetId="19" r:id="rId1"/>
    <sheet name="Sales Dashboard" sheetId="2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142" i="19" l="1"/>
  <c r="K142" i="19" s="1"/>
  <c r="L142" i="19" s="1"/>
  <c r="I141" i="19"/>
  <c r="K141" i="19" s="1"/>
  <c r="L141" i="19" s="1"/>
  <c r="I140" i="19"/>
  <c r="K140" i="19" s="1"/>
  <c r="L140" i="19" s="1"/>
  <c r="I139" i="19"/>
  <c r="K139" i="19" s="1"/>
  <c r="L139" i="19" s="1"/>
  <c r="I138" i="19"/>
  <c r="K138" i="19" s="1"/>
  <c r="L138" i="19" s="1"/>
  <c r="I137" i="19"/>
  <c r="K137" i="19" s="1"/>
  <c r="L137" i="19" s="1"/>
  <c r="I136" i="19"/>
  <c r="K136" i="19" s="1"/>
  <c r="L136" i="19" s="1"/>
  <c r="I135" i="19"/>
  <c r="K135" i="19" s="1"/>
  <c r="L135" i="19" s="1"/>
  <c r="I134" i="19"/>
  <c r="K134" i="19" s="1"/>
  <c r="L134" i="19" s="1"/>
  <c r="I133" i="19"/>
  <c r="K133" i="19" s="1"/>
  <c r="L133" i="19" s="1"/>
  <c r="I132" i="19"/>
  <c r="K132" i="19" s="1"/>
  <c r="L132" i="19" s="1"/>
  <c r="I131" i="19"/>
  <c r="K131" i="19" s="1"/>
  <c r="L131" i="19" s="1"/>
  <c r="I130" i="19"/>
  <c r="K130" i="19" s="1"/>
  <c r="L130" i="19" s="1"/>
  <c r="I129" i="19"/>
  <c r="K129" i="19" s="1"/>
  <c r="L129" i="19" s="1"/>
  <c r="I128" i="19"/>
  <c r="K128" i="19" s="1"/>
  <c r="L128" i="19" s="1"/>
  <c r="I127" i="19"/>
  <c r="K127" i="19" s="1"/>
  <c r="L127" i="19" s="1"/>
  <c r="I126" i="19"/>
  <c r="K126" i="19" s="1"/>
  <c r="L126" i="19" s="1"/>
  <c r="I125" i="19"/>
  <c r="K125" i="19" s="1"/>
  <c r="L125" i="19" s="1"/>
  <c r="I124" i="19"/>
  <c r="K124" i="19" s="1"/>
  <c r="L124" i="19" s="1"/>
  <c r="I123" i="19"/>
  <c r="K123" i="19" s="1"/>
  <c r="L123" i="19" s="1"/>
  <c r="I122" i="19"/>
  <c r="K122" i="19" s="1"/>
  <c r="L122" i="19" s="1"/>
  <c r="I121" i="19"/>
  <c r="K121" i="19" s="1"/>
  <c r="L121" i="19" s="1"/>
  <c r="I120" i="19"/>
  <c r="K120" i="19" s="1"/>
  <c r="L120" i="19" s="1"/>
  <c r="I119" i="19"/>
  <c r="K119" i="19" s="1"/>
  <c r="L119" i="19" s="1"/>
  <c r="I118" i="19"/>
  <c r="K118" i="19" s="1"/>
  <c r="L118" i="19" s="1"/>
  <c r="I117" i="19"/>
  <c r="K117" i="19" s="1"/>
  <c r="L117" i="19" s="1"/>
  <c r="I116" i="19"/>
  <c r="K116" i="19" s="1"/>
  <c r="L116" i="19" s="1"/>
  <c r="I115" i="19"/>
  <c r="K115" i="19" s="1"/>
  <c r="L115" i="19" s="1"/>
  <c r="I114" i="19"/>
  <c r="K114" i="19" s="1"/>
  <c r="L114" i="19" s="1"/>
  <c r="I113" i="19"/>
  <c r="K113" i="19" s="1"/>
  <c r="L113" i="19" s="1"/>
  <c r="I112" i="19"/>
  <c r="K112" i="19" s="1"/>
  <c r="L112" i="19" s="1"/>
  <c r="K111" i="19"/>
  <c r="L111" i="19" s="1"/>
  <c r="I111" i="19"/>
  <c r="I110" i="19"/>
  <c r="K110" i="19" s="1"/>
  <c r="L110" i="19" s="1"/>
  <c r="I109" i="19"/>
  <c r="K109" i="19" s="1"/>
  <c r="L109" i="19" s="1"/>
  <c r="I108" i="19"/>
  <c r="K108" i="19" s="1"/>
  <c r="L108" i="19" s="1"/>
  <c r="I107" i="19"/>
  <c r="K107" i="19" s="1"/>
  <c r="L107" i="19" s="1"/>
  <c r="I106" i="19"/>
  <c r="K106" i="19" s="1"/>
  <c r="L106" i="19" s="1"/>
  <c r="I105" i="19"/>
  <c r="K105" i="19" s="1"/>
  <c r="L105" i="19" s="1"/>
  <c r="I104" i="19"/>
  <c r="K104" i="19" s="1"/>
  <c r="L104" i="19" s="1"/>
  <c r="I103" i="19"/>
  <c r="K103" i="19" s="1"/>
  <c r="L103" i="19" s="1"/>
  <c r="I102" i="19"/>
  <c r="K102" i="19" s="1"/>
  <c r="L102" i="19" s="1"/>
  <c r="K101" i="19"/>
  <c r="L101" i="19" s="1"/>
  <c r="I101" i="19"/>
  <c r="I100" i="19"/>
  <c r="K100" i="19" s="1"/>
  <c r="L100" i="19" s="1"/>
  <c r="I99" i="19"/>
  <c r="K99" i="19" s="1"/>
  <c r="L99" i="19" s="1"/>
  <c r="I98" i="19"/>
  <c r="K98" i="19" s="1"/>
  <c r="L98" i="19" s="1"/>
  <c r="I97" i="19"/>
  <c r="K97" i="19" s="1"/>
  <c r="L97" i="19" s="1"/>
  <c r="I96" i="19"/>
  <c r="K96" i="19" s="1"/>
  <c r="L96" i="19" s="1"/>
  <c r="I95" i="19"/>
  <c r="K95" i="19" s="1"/>
  <c r="L95" i="19" s="1"/>
  <c r="I94" i="19"/>
  <c r="K94" i="19" s="1"/>
  <c r="L94" i="19" s="1"/>
  <c r="I93" i="19"/>
  <c r="K93" i="19" s="1"/>
  <c r="L93" i="19" s="1"/>
  <c r="I92" i="19"/>
  <c r="K92" i="19" s="1"/>
  <c r="L92" i="19" s="1"/>
  <c r="I91" i="19"/>
  <c r="K91" i="19" s="1"/>
  <c r="L91" i="19" s="1"/>
  <c r="I90" i="19"/>
  <c r="K90" i="19" s="1"/>
  <c r="L90" i="19" s="1"/>
  <c r="I89" i="19"/>
  <c r="K89" i="19" s="1"/>
  <c r="L89" i="19" s="1"/>
  <c r="I88" i="19"/>
  <c r="K88" i="19" s="1"/>
  <c r="L88" i="19" s="1"/>
  <c r="I87" i="19"/>
  <c r="K87" i="19" s="1"/>
  <c r="L87" i="19" s="1"/>
  <c r="I86" i="19"/>
  <c r="K86" i="19" s="1"/>
  <c r="L86" i="19" s="1"/>
  <c r="I85" i="19"/>
  <c r="K85" i="19" s="1"/>
  <c r="L85" i="19" s="1"/>
  <c r="I84" i="19"/>
  <c r="K84" i="19" s="1"/>
  <c r="L84" i="19" s="1"/>
  <c r="I83" i="19"/>
  <c r="K83" i="19" s="1"/>
  <c r="L83" i="19" s="1"/>
  <c r="I82" i="19"/>
  <c r="K82" i="19" s="1"/>
  <c r="L82" i="19" s="1"/>
  <c r="I81" i="19"/>
  <c r="K81" i="19" s="1"/>
  <c r="L81" i="19" s="1"/>
  <c r="I80" i="19"/>
  <c r="K80" i="19" s="1"/>
  <c r="L80" i="19" s="1"/>
  <c r="I79" i="19"/>
  <c r="K79" i="19" s="1"/>
  <c r="L79" i="19" s="1"/>
  <c r="I78" i="19"/>
  <c r="K78" i="19" s="1"/>
  <c r="L78" i="19" s="1"/>
  <c r="I77" i="19"/>
  <c r="K77" i="19" s="1"/>
  <c r="L77" i="19" s="1"/>
  <c r="I76" i="19"/>
  <c r="K76" i="19" s="1"/>
  <c r="L76" i="19" s="1"/>
  <c r="I75" i="19"/>
  <c r="K75" i="19" s="1"/>
  <c r="L75" i="19" s="1"/>
  <c r="I74" i="19"/>
  <c r="K74" i="19" s="1"/>
  <c r="L74" i="19" s="1"/>
  <c r="K73" i="19"/>
  <c r="L73" i="19" s="1"/>
  <c r="I73" i="19"/>
  <c r="I72" i="19"/>
  <c r="K72" i="19" s="1"/>
  <c r="L72" i="19" s="1"/>
  <c r="I71" i="19"/>
  <c r="K71" i="19" s="1"/>
  <c r="L71" i="19" s="1"/>
  <c r="I70" i="19"/>
  <c r="K70" i="19" s="1"/>
  <c r="L70" i="19" s="1"/>
  <c r="I69" i="19"/>
  <c r="K69" i="19" s="1"/>
  <c r="L69" i="19" s="1"/>
  <c r="I68" i="19"/>
  <c r="K68" i="19" s="1"/>
  <c r="L68" i="19" s="1"/>
  <c r="I67" i="19"/>
  <c r="K67" i="19" s="1"/>
  <c r="L67" i="19" s="1"/>
  <c r="I66" i="19"/>
  <c r="K66" i="19" s="1"/>
  <c r="L66" i="19" s="1"/>
  <c r="I65" i="19"/>
  <c r="K65" i="19" s="1"/>
  <c r="L65" i="19" s="1"/>
  <c r="I64" i="19"/>
  <c r="K64" i="19" s="1"/>
  <c r="L64" i="19" s="1"/>
  <c r="I63" i="19"/>
  <c r="K63" i="19" s="1"/>
  <c r="L63" i="19" s="1"/>
  <c r="I62" i="19"/>
  <c r="K62" i="19" s="1"/>
  <c r="L62" i="19" s="1"/>
  <c r="I61" i="19"/>
  <c r="K61" i="19" s="1"/>
  <c r="L61" i="19" s="1"/>
  <c r="I60" i="19"/>
  <c r="K60" i="19" s="1"/>
  <c r="L60" i="19" s="1"/>
  <c r="I59" i="19"/>
  <c r="K59" i="19" s="1"/>
  <c r="L59" i="19" s="1"/>
  <c r="I58" i="19"/>
  <c r="K58" i="19" s="1"/>
  <c r="L58" i="19" s="1"/>
  <c r="I57" i="19"/>
  <c r="K57" i="19" s="1"/>
  <c r="L57" i="19" s="1"/>
  <c r="I56" i="19"/>
  <c r="K56" i="19" s="1"/>
  <c r="L56" i="19" s="1"/>
  <c r="I55" i="19"/>
  <c r="K55" i="19" s="1"/>
  <c r="L55" i="19" s="1"/>
  <c r="I54" i="19"/>
  <c r="K54" i="19" s="1"/>
  <c r="L54" i="19" s="1"/>
  <c r="I53" i="19"/>
  <c r="K53" i="19" s="1"/>
  <c r="L53" i="19" s="1"/>
  <c r="I52" i="19"/>
  <c r="K52" i="19" s="1"/>
  <c r="L52" i="19" s="1"/>
  <c r="I51" i="19"/>
  <c r="K51" i="19" s="1"/>
  <c r="L51" i="19" s="1"/>
  <c r="I50" i="19"/>
  <c r="K50" i="19" s="1"/>
  <c r="L50" i="19" s="1"/>
  <c r="I49" i="19"/>
  <c r="K49" i="19" s="1"/>
  <c r="L49" i="19" s="1"/>
  <c r="I48" i="19"/>
  <c r="K48" i="19" s="1"/>
  <c r="L48" i="19" s="1"/>
  <c r="I47" i="19"/>
  <c r="K47" i="19" s="1"/>
  <c r="L47" i="19" s="1"/>
  <c r="K46" i="19"/>
  <c r="L46" i="19" s="1"/>
  <c r="I46" i="19"/>
  <c r="I45" i="19"/>
  <c r="K45" i="19" s="1"/>
  <c r="L45" i="19" s="1"/>
  <c r="I44" i="19"/>
  <c r="K44" i="19" s="1"/>
  <c r="L44" i="19" s="1"/>
  <c r="I43" i="19"/>
  <c r="K43" i="19" s="1"/>
  <c r="L43" i="19" s="1"/>
  <c r="I42" i="19"/>
  <c r="K42" i="19" s="1"/>
  <c r="L42" i="19" s="1"/>
  <c r="I41" i="19"/>
  <c r="K41" i="19" s="1"/>
  <c r="L41" i="19" s="1"/>
  <c r="I40" i="19"/>
  <c r="K40" i="19" s="1"/>
  <c r="L40" i="19" s="1"/>
  <c r="K39" i="19"/>
  <c r="L39" i="19" s="1"/>
  <c r="I39" i="19"/>
  <c r="I38" i="19"/>
  <c r="K38" i="19" s="1"/>
  <c r="L38" i="19" s="1"/>
  <c r="I37" i="19"/>
  <c r="K37" i="19" s="1"/>
  <c r="L37" i="19" s="1"/>
  <c r="I36" i="19"/>
  <c r="K36" i="19" s="1"/>
  <c r="L36" i="19" s="1"/>
  <c r="I35" i="19"/>
  <c r="K35" i="19" s="1"/>
  <c r="L35" i="19" s="1"/>
  <c r="I34" i="19"/>
  <c r="K34" i="19" s="1"/>
  <c r="L34" i="19" s="1"/>
  <c r="I33" i="19"/>
  <c r="K33" i="19" s="1"/>
  <c r="L33" i="19" s="1"/>
  <c r="I32" i="19"/>
  <c r="K32" i="19" s="1"/>
  <c r="L32" i="19" s="1"/>
  <c r="I31" i="19"/>
  <c r="K31" i="19" s="1"/>
  <c r="L31" i="19" s="1"/>
  <c r="I30" i="19"/>
  <c r="K30" i="19" s="1"/>
  <c r="L30" i="19" s="1"/>
  <c r="I29" i="19"/>
  <c r="K29" i="19" s="1"/>
  <c r="L29" i="19" s="1"/>
  <c r="I28" i="19"/>
  <c r="K28" i="19" s="1"/>
  <c r="L28" i="19" s="1"/>
  <c r="I27" i="19"/>
  <c r="K27" i="19" s="1"/>
  <c r="L27" i="19" s="1"/>
  <c r="K26" i="19"/>
  <c r="L26" i="19" s="1"/>
  <c r="I26" i="19"/>
  <c r="I25" i="19"/>
  <c r="K25" i="19" s="1"/>
  <c r="L25" i="19" s="1"/>
  <c r="I24" i="19"/>
  <c r="K24" i="19" s="1"/>
  <c r="L24" i="19" s="1"/>
  <c r="K23" i="19"/>
  <c r="L23" i="19" s="1"/>
  <c r="I23" i="19"/>
  <c r="I22" i="19"/>
  <c r="K22" i="19" s="1"/>
  <c r="L22" i="19" s="1"/>
  <c r="I21" i="19"/>
  <c r="K21" i="19" s="1"/>
  <c r="L21" i="19" s="1"/>
  <c r="I20" i="19"/>
  <c r="K20" i="19" s="1"/>
  <c r="L20" i="19" s="1"/>
  <c r="I19" i="19"/>
  <c r="K19" i="19" s="1"/>
  <c r="L19" i="19" s="1"/>
  <c r="I18" i="19"/>
  <c r="K18" i="19" s="1"/>
  <c r="L18" i="19" s="1"/>
  <c r="I17" i="19"/>
  <c r="K17" i="19" s="1"/>
  <c r="L17" i="19" s="1"/>
  <c r="I16" i="19"/>
  <c r="K16" i="19" s="1"/>
  <c r="L16" i="19" s="1"/>
  <c r="K15" i="19"/>
  <c r="L15" i="19" s="1"/>
  <c r="I15" i="19"/>
  <c r="I14" i="19"/>
  <c r="K14" i="19" s="1"/>
  <c r="L14" i="19" s="1"/>
  <c r="I13" i="19"/>
  <c r="K13" i="19" s="1"/>
  <c r="L13" i="19" s="1"/>
  <c r="I12" i="19"/>
  <c r="K12" i="19" s="1"/>
  <c r="L12" i="19" s="1"/>
  <c r="I11" i="19"/>
  <c r="K11" i="19" s="1"/>
  <c r="L11" i="19" s="1"/>
  <c r="I10" i="19"/>
  <c r="K10" i="19" s="1"/>
  <c r="L10" i="19" s="1"/>
  <c r="I9" i="19"/>
  <c r="K9" i="19" s="1"/>
  <c r="L9" i="19" s="1"/>
  <c r="I8" i="19"/>
  <c r="K8" i="19" s="1"/>
  <c r="L8" i="19" s="1"/>
  <c r="I7" i="19"/>
  <c r="K7" i="19" s="1"/>
  <c r="L7" i="19" s="1"/>
  <c r="I6" i="19"/>
  <c r="K6" i="19" s="1"/>
  <c r="L6" i="19" s="1"/>
  <c r="I5" i="19"/>
  <c r="K5" i="19" s="1"/>
  <c r="L5" i="19" s="1"/>
  <c r="I4" i="19"/>
  <c r="K4" i="19" s="1"/>
  <c r="L4" i="19" s="1"/>
  <c r="I3" i="19"/>
  <c r="K3" i="19" s="1"/>
  <c r="L3" i="19" s="1"/>
  <c r="I2" i="19"/>
  <c r="K2" i="19" s="1"/>
  <c r="L2" i="19" s="1"/>
</calcChain>
</file>

<file path=xl/sharedStrings.xml><?xml version="1.0" encoding="utf-8"?>
<sst xmlns="http://schemas.openxmlformats.org/spreadsheetml/2006/main" count="463" uniqueCount="307">
  <si>
    <t>Region</t>
  </si>
  <si>
    <t>Mumbai</t>
  </si>
  <si>
    <t>Chennai</t>
  </si>
  <si>
    <t>Delhi</t>
  </si>
  <si>
    <t>Nagpur</t>
  </si>
  <si>
    <t>Pune</t>
  </si>
  <si>
    <t>Surat</t>
  </si>
  <si>
    <t>Emp Code</t>
  </si>
  <si>
    <t>Sales Executive</t>
  </si>
  <si>
    <t>Day1</t>
  </si>
  <si>
    <t>Day2</t>
  </si>
  <si>
    <t>Day3</t>
  </si>
  <si>
    <t>Day4</t>
  </si>
  <si>
    <t>Day5</t>
  </si>
  <si>
    <t>Total Sales</t>
  </si>
  <si>
    <t>Target</t>
  </si>
  <si>
    <t>Target Hit %</t>
  </si>
  <si>
    <t>Away From Target %</t>
  </si>
  <si>
    <t>Mum-TCL001</t>
  </si>
  <si>
    <t>Raj Verma</t>
  </si>
  <si>
    <t>Mum-TCL002</t>
  </si>
  <si>
    <t>Tanuja Kale</t>
  </si>
  <si>
    <t>Mum-TCL003</t>
  </si>
  <si>
    <t>Arvind Sharma</t>
  </si>
  <si>
    <t>Mum-TCL004</t>
  </si>
  <si>
    <t>Tahira Qureshi</t>
  </si>
  <si>
    <t>Mum-TCL005</t>
  </si>
  <si>
    <t>Anuj Sharma</t>
  </si>
  <si>
    <t>Mum-TCL006</t>
  </si>
  <si>
    <t>Syed Sohail</t>
  </si>
  <si>
    <t>Patna</t>
  </si>
  <si>
    <t>Mum-TCL007</t>
  </si>
  <si>
    <t>Syed Saqib</t>
  </si>
  <si>
    <t>Ranchi</t>
  </si>
  <si>
    <t>Mum-TCL008</t>
  </si>
  <si>
    <t>Syed Naved</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</si>
  <si>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</si>
  <si>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</si>
  <si>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</si>
  <si>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</si>
  <si>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</si>
  <si>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</si>
  <si>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</si>
  <si>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</si>
  <si>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</si>
  <si>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</si>
  <si>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</si>
  <si>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</si>
  <si>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</si>
  <si>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</si>
  <si>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</si>
  <si>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</si>
  <si>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</si>
  <si>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</si>
  <si>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</si>
  <si>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</si>
  <si>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</si>
  <si>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</si>
  <si>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</si>
  <si>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</si>
  <si>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</si>
  <si>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</si>
  <si>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</si>
  <si>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</si>
  <si>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</si>
  <si>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</si>
  <si>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</si>
  <si>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</si>
  <si>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</si>
  <si>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</si>
  <si>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</si>
  <si>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</si>
  <si>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</si>
  <si>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</si>
  <si>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</si>
  <si>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</si>
  <si>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</si>
  <si>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</si>
  <si>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</si>
  <si>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</si>
  <si>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</si>
  <si>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</si>
  <si>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</si>
  <si>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</si>
  <si>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</si>
  <si>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</si>
  <si>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</si>
  <si>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</si>
  <si>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</si>
  <si>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</si>
  <si>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</si>
  <si>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</si>
  <si>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</si>
  <si>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</si>
  <si>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</si>
  <si>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</si>
  <si>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</si>
  <si>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</si>
  <si>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</si>
  <si>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</si>
  <si>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</si>
  <si>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</si>
  <si>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</si>
  <si>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</si>
  <si>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</si>
  <si>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</si>
  <si>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</si>
  <si>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</si>
  <si>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</si>
  <si>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</si>
  <si>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</si>
  <si>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</si>
  <si>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</si>
  <si>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</si>
  <si>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</si>
  <si>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</si>
  <si>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</si>
  <si>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</si>
  <si>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</si>
  <si>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</si>
  <si>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</si>
  <si>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</si>
  <si>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</si>
  <si>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</si>
  <si>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</si>
  <si>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</si>
  <si>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</si>
  <si>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</si>
  <si>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</si>
  <si>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</si>
  <si>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</si>
  <si>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</si>
  <si>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</si>
  <si>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</si>
  <si>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</si>
  <si>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</si>
  <si>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</si>
  <si>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</si>
  <si>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</si>
  <si>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</si>
  <si>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</si>
  <si>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</si>
  <si>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</si>
  <si>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</si>
  <si>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</si>
  <si>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</si>
  <si>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</si>
  <si>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</si>
  <si>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</si>
  <si>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</si>
  <si>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</si>
  <si>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</si>
  <si>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</si>
  <si>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</si>
  <si>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</si>
  <si>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</si>
  <si>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</si>
  <si>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</si>
  <si>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</si>
  <si>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</si>
  <si>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</si>
  <si>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</si>
  <si>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</si>
  <si>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</si>
  <si>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</si>
  <si>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</si>
  <si>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</si>
  <si>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</si>
  <si>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</si>
  <si>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</si>
  <si>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</si>
  <si>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</si>
  <si>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</si>
  <si>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</si>
  <si>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</si>
  <si>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</si>
  <si>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</si>
  <si>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</si>
  <si>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</si>
  <si>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</si>
  <si>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</si>
  <si>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</si>
  <si>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</si>
  <si>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</si>
  <si>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</si>
  <si>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</si>
  <si>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</si>
  <si>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</si>
  <si>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</si>
  <si>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</si>
  <si>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</si>
  <si>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</si>
  <si>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</si>
  <si>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</si>
  <si>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</si>
  <si>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</si>
  <si>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</si>
  <si>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</si>
  <si>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</si>
  <si>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</si>
  <si>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</si>
  <si>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</si>
  <si>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</si>
  <si>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</si>
  <si>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</si>
  <si>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</si>
  <si>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</si>
  <si>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</si>
  <si>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</si>
  <si>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</si>
  <si>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</si>
  <si>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</si>
  <si>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</si>
  <si>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</si>
  <si>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</si>
  <si>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</si>
  <si>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</si>
  <si>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</si>
  <si>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</si>
  <si>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</si>
  <si>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</si>
  <si>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</si>
  <si>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</si>
  <si>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</si>
  <si>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</si>
  <si>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</si>
  <si>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</si>
  <si>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</si>
  <si>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</si>
  <si>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</si>
  <si>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</si>
  <si>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</si>
  <si>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</si>
  <si>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</si>
  <si>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</si>
  <si>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</si>
  <si>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</si>
  <si>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</si>
  <si>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</si>
  <si>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</si>
  <si>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</si>
  <si>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</si>
  <si>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</si>
  <si>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</si>
  <si>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</si>
  <si>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</si>
  <si>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</si>
  <si>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</si>
  <si>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</si>
  <si>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</si>
  <si>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</si>
  <si>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</si>
  <si>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</si>
  <si>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</si>
  <si>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</si>
  <si>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</si>
  <si>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</si>
  <si>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</si>
  <si>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</si>
  <si>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</si>
  <si>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</si>
  <si>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</si>
  <si>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</si>
  <si>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</si>
  <si>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</si>
  <si>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</si>
  <si>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</si>
  <si>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</si>
  <si>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</si>
  <si>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</si>
  <si>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</si>
  <si>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</si>
  <si>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</si>
  <si>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</si>
  <si>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</si>
  <si>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</si>
  <si>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</si>
  <si>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</si>
  <si>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</si>
  <si>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</si>
  <si>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</si>
  <si>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</si>
  <si>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</si>
  <si>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</si>
  <si>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</si>
  <si>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</si>
  <si>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</si>
  <si>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</si>
  <si>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</si>
  <si>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</si>
  <si>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</si>
  <si>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</si>
  <si>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</si>
  <si>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</si>
  <si>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</si>
  <si>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</si>
  <si>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</si>
  <si>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</si>
  <si>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</si>
  <si>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</si>
  <si>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</si>
  <si>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</si>
  <si>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</si>
  <si>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Sum of Total Sales</t>
  </si>
  <si>
    <t xml:space="preserve">Total Sales </t>
  </si>
  <si>
    <t xml:space="preserve">Target Hit %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</si>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</sst>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Arial"/>
      <family val="2"/>
    </font>
    <font>
      <sz val="11"/>
      <color theme="1"/>
      <name val="Calibri"/>
      <family val="2"/>
      <scheme val="minor"/>
    </font>
    <font>
      <sz val="11"/>
      <color theme="1"/>
      <name val="Arial"/>
      <family val="2"/>
    </font>
    <font>
      <b/>
      <sz val="10"/>
      <color rgb="FF000000"/>
      <name val="Calibri"/>
      <family val="2"/>
      <scheme val="minor"/>
    </font>
    <font>
      <sz val="10"/>
      <color theme="1"/>
      <name val="Calibri"/>
      <family val="2"/>
      <scheme val="minor"/>
    </font>
    <font>
      <sz val="10"/>
      <color rgb="FF000000"/>
      <name val="Calibri"/>
      <family val="2"/>
      <scheme val="minor"/>
    </font>
    <font>
      <sz val="11"/>
      <color theme="2" tint="-0.89999084444715716"/>
      <name val="Arial"/>
      <family val="2"/>
    </font>
    <font>
      <b/>
      <u/>
      <sz val="22"/>
      <color theme="2" tint="-0.89999084444715716"/>
      <name val="Batang"/>
      <family val="1"/>
      <charset val="129"/>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bgColor indexed="64"/>
      </patternFill>
    </fill>
  </fills>
  <borders count="10">
    <border>
      <left/>
      <right/>
      <top/>
      <bottom/>
      <diagonal/>
    </border>
    <border>
      <left style="thin">
        <color auto="1"/>
      </left>
      <right style="thin">
        <color auto="1"/>
      </right>
      <top style="thin">
        <color auto="1"/>
      </top>
      <bottom style="thin">
        <color auto="1"/>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theme="2" tint="-0.249977111117893"/>
      </bottom>
      <diagonal/>
    </border>
  </borders>
  <cellStyleXfs count="3">
    <xf numFmtId="0" fontId="0" fillId="0" borderId="0"/>
    <xf numFmtId="0" fontId="1" fillId="0" borderId="0"/>
    <xf numFmtId="9" fontId="2" fillId="0" borderId="0" applyFont="0" applyFill="0" applyBorder="0" applyAlignment="0" applyProtection="0"/>
  </cellStyleXfs>
  <cellXfs count="41">
    <xf numFmtId="0" fontId="0" fillId="0" borderId="0" xfId="0"/>
    <xf numFmtId="0" fontId="3" fillId="2" borderId="1" xfId="0" applyFont="1" applyFill="1" applyBorder="1" applyAlignment="1">
      <alignment horizontal="center" vertical="center"/>
    </xf>
    <xf numFmtId="14" fontId="4" fillId="3" borderId="1" xfId="0" applyNumberFormat="1" applyFont="1" applyFill="1" applyBorder="1" applyAlignment="1">
      <alignment horizontal="center" vertical="center"/>
    </xf>
    <xf numFmtId="0" fontId="0" fillId="3" borderId="1" xfId="0" applyFill="1" applyBorder="1"/>
    <xf numFmtId="0" fontId="4" fillId="3" borderId="1" xfId="0" applyFont="1" applyFill="1" applyBorder="1" applyAlignment="1">
      <alignment horizontal="center" vertical="center"/>
    </xf>
    <xf numFmtId="0" fontId="5" fillId="3" borderId="1" xfId="0" applyFont="1" applyFill="1" applyBorder="1" applyAlignment="1">
      <alignment horizontal="center" vertical="center"/>
    </xf>
    <xf numFmtId="10" fontId="5" fillId="3" borderId="1" xfId="2" applyNumberFormat="1" applyFont="1" applyFill="1" applyBorder="1" applyAlignment="1">
      <alignment horizontal="center" vertical="center"/>
    </xf>
    <xf numFmtId="10" fontId="5" fillId="3" borderId="1" xfId="0" applyNumberFormat="1" applyFont="1" applyFill="1" applyBorder="1" applyAlignment="1">
      <alignment horizontal="center" vertical="center"/>
    </xf>
    <xf numFmtId="0" fontId="0" fillId="3" borderId="1" xfId="0" applyFill="1" applyBorder="1" applyAlignment="1">
      <alignment horizontal="center"/>
    </xf>
    <xf numFmtId="10" fontId="0" fillId="0" borderId="0" xfId="0" applyNumberFormat="1"/>
    <xf numFmtId="0" fontId="6" fillId="0" borderId="0" xfId="0" applyFont="1" applyFill="1" applyBorder="1" applyAlignment="1"/>
    <xf numFmtId="0" fontId="0" fillId="0" borderId="0" xfId="0" applyBorder="1"/>
    <xf numFmtId="0" fontId="0" fillId="0" borderId="0" xfId="0" applyAlignment="1"/>
    <xf numFmtId="0" fontId="6" fillId="4" borderId="0" xfId="0" applyFont="1" applyFill="1" applyBorder="1" applyAlignment="1"/>
    <xf numFmtId="0" fontId="0" fillId="4" borderId="0" xfId="0" applyFill="1" applyAlignment="1"/>
    <xf numFmtId="0" fontId="0" fillId="4" borderId="0" xfId="0" applyFill="1"/>
    <xf numFmtId="10" fontId="0" fillId="4" borderId="0" xfId="0" applyNumberFormat="1" applyFill="1"/>
    <xf numFmtId="0" fontId="0" fillId="4" borderId="0" xfId="0" applyFill="1" applyBorder="1"/>
    <xf numFmtId="0" fontId="0" fillId="4" borderId="0" xfId="0" applyFont="1" applyFill="1"/>
    <xf numFmtId="10" fontId="0" fillId="4" borderId="0" xfId="0" applyNumberFormat="1" applyFont="1" applyFill="1"/>
    <xf numFmtId="0" fontId="7" fillId="4" borderId="0" xfId="0" applyFont="1" applyFill="1" applyBorder="1" applyAlignment="1"/>
    <xf numFmtId="0" fontId="0" fillId="0" borderId="0" xfId="0" applyFill="1"/>
    <xf numFmtId="0" fontId="0" fillId="0" borderId="0" xfId="0" pivotButton="1"/>
    <xf numFmtId="0" fontId="0" fillId="0" borderId="0" xfId="0" applyAlignment="1">
      <alignment horizontal="left"/>
    </xf>
    <xf numFmtId="0" fontId="0" fillId="0" borderId="0" xfId="0" applyNumberFormat="1"/>
    <xf numFmtId="0" fontId="0" fillId="4" borderId="2" xfId="0" applyFill="1" applyBorder="1"/>
    <xf numFmtId="10" fontId="0" fillId="4" borderId="2" xfId="0" applyNumberFormat="1" applyFill="1" applyBorder="1"/>
    <xf numFmtId="0" fontId="0" fillId="4" borderId="4" xfId="0" applyFill="1" applyBorder="1"/>
    <xf numFmtId="0" fontId="0" fillId="4" borderId="3" xfId="0" applyFill="1" applyBorder="1"/>
    <xf numFmtId="0" fontId="0" fillId="4" borderId="6" xfId="0" applyFill="1" applyBorder="1"/>
    <xf numFmtId="10" fontId="0" fillId="4" borderId="6" xfId="0" applyNumberFormat="1" applyFill="1" applyBorder="1"/>
    <xf numFmtId="10" fontId="0" fillId="4" borderId="5" xfId="0" applyNumberFormat="1" applyFill="1" applyBorder="1"/>
    <xf numFmtId="0" fontId="0" fillId="4" borderId="7" xfId="0" applyFill="1" applyBorder="1"/>
    <xf numFmtId="0" fontId="6" fillId="4" borderId="7" xfId="0" applyFont="1" applyFill="1" applyBorder="1" applyAlignment="1"/>
    <xf numFmtId="0" fontId="0" fillId="4" borderId="7" xfId="0" applyFill="1" applyBorder="1" applyAlignment="1"/>
    <xf numFmtId="0" fontId="0" fillId="4" borderId="8" xfId="0" applyFill="1" applyBorder="1"/>
    <xf numFmtId="0" fontId="0" fillId="4" borderId="0" xfId="0" applyFont="1" applyFill="1" applyBorder="1"/>
    <xf numFmtId="0" fontId="0" fillId="4" borderId="0" xfId="0" applyFont="1" applyFill="1" applyBorder="1" applyAlignment="1">
      <alignment horizontal="left"/>
    </xf>
    <xf numFmtId="0" fontId="0" fillId="4" borderId="0" xfId="0" applyNumberFormat="1" applyFont="1" applyFill="1" applyBorder="1"/>
    <xf numFmtId="10" fontId="0" fillId="4" borderId="0" xfId="0" applyNumberFormat="1" applyFont="1" applyFill="1" applyBorder="1"/>
    <xf numFmtId="0" fontId="6" fillId="4" borderId="9" xfId="0" applyFont="1" applyFill="1" applyBorder="1" applyAlignment="1"/>
  </cellXfs>
  <cellStyles count="3">
    <cellStyle name="Normal" xfId="0" builtinId="0"/>
    <cellStyle name="Normal 2" xfId="1" xr:uid="{00000000-0005-0000-0000-000001000000}"/>
    <cellStyle name="Percent" xfId="2" builtinId="5"/>
  </cellStyles>
  <dxfs count="71">
    <dxf>
      <border>
        <left/>
        <right/>
        <top/>
        <bottom/>
        <vertical/>
      </border>
    </dxf>
    <dxf>
      <border>
        <left/>
        <right/>
        <top/>
        <bottom/>
        <vertical/>
      </border>
    </dxf>
    <dxf>
      <border>
        <left/>
        <right/>
        <top/>
        <bottom/>
        <vertical/>
      </border>
    </dxf>
    <dxf>
      <border>
        <left/>
        <right/>
        <top/>
        <bottom/>
        <vertical/>
      </border>
    </dxf>
    <dxf>
      <border>
        <left/>
        <right/>
        <top/>
        <bottom/>
        <vertical/>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patternType="solid">
          <bgColor rgb="FFFCF8E0"/>
        </patternFill>
      </fill>
    </dxf>
    <dxf>
      <fill>
        <patternFill patternType="solid">
          <bgColor rgb="FFFCF8E0"/>
        </patternFill>
      </fill>
    </dxf>
    <dxf>
      <fill>
        <patternFill patternType="solid">
          <bgColor rgb="FFFCF8E0"/>
        </patternFill>
      </fill>
    </dxf>
    <dxf>
      <fill>
        <patternFill patternType="solid">
          <bgColor rgb="FFFCF8E0"/>
        </patternFill>
      </fill>
    </dxf>
    <dxf>
      <fill>
        <patternFill patternType="solid">
          <bgColor rgb="FFFCF8E0"/>
        </patternFill>
      </fill>
    </dxf>
    <dxf>
      <fill>
        <patternFill patternType="solid">
          <bgColor rgb="FFFCF8E0"/>
        </patternFill>
      </fill>
    </dxf>
    <dxf>
      <font>
        <color theme="1"/>
      </font>
    </dxf>
    <dxf>
      <font>
        <color theme="1"/>
      </font>
    </dxf>
    <dxf>
      <font>
        <color theme="1"/>
      </font>
    </dxf>
    <dxf>
      <font>
        <color theme="1"/>
      </font>
    </dxf>
    <dxf>
      <font>
        <color theme="1"/>
      </font>
    </dxf>
    <dxf>
      <font>
        <color theme="1"/>
      </font>
    </dxf>
    <dxf>
      <border>
        <left/>
        <right/>
        <top/>
        <bottom/>
        <vertical/>
      </border>
    </dxf>
    <dxf>
      <border>
        <left/>
        <right/>
        <top/>
        <bottom/>
        <vertical/>
      </border>
    </dxf>
    <dxf>
      <border>
        <left/>
        <right/>
        <top/>
        <bottom/>
        <vertical/>
      </border>
    </dxf>
    <dxf>
      <border>
        <left/>
        <right/>
        <top/>
        <bottom/>
        <vertical/>
      </border>
    </dxf>
    <dxf>
      <border>
        <left/>
        <right/>
        <top/>
        <bottom/>
        <vertical/>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patternType="solid">
          <bgColor rgb="FFFCF8E0"/>
        </patternFill>
      </fill>
    </dxf>
    <dxf>
      <fill>
        <patternFill patternType="solid">
          <bgColor rgb="FFFCF8E0"/>
        </patternFill>
      </fill>
    </dxf>
    <dxf>
      <fill>
        <patternFill patternType="solid">
          <bgColor rgb="FFFCF8E0"/>
        </patternFill>
      </fill>
    </dxf>
    <dxf>
      <fill>
        <patternFill patternType="solid">
          <bgColor rgb="FFFCF8E0"/>
        </patternFill>
      </fill>
    </dxf>
    <dxf>
      <fill>
        <patternFill patternType="solid">
          <bgColor rgb="FFFCF8E0"/>
        </patternFill>
      </fill>
    </dxf>
    <dxf>
      <fill>
        <patternFill patternType="solid">
          <bgColor rgb="FFFCF8E0"/>
        </patternFill>
      </fill>
    </dxf>
    <dxf>
      <font>
        <color theme="1"/>
      </font>
    </dxf>
    <dxf>
      <font>
        <color theme="1"/>
      </font>
    </dxf>
    <dxf>
      <font>
        <color theme="1"/>
      </font>
    </dxf>
    <dxf>
      <font>
        <color theme="1"/>
      </font>
    </dxf>
    <dxf>
      <font>
        <color theme="1"/>
      </font>
    </dxf>
    <dxf>
      <font>
        <color theme="1"/>
      </font>
    </dxf>
    <dxf>
      <numFmt numFmtId="14" formatCode="0.00%"/>
    </dxf>
    <dxf>
      <numFmt numFmtId="14" formatCode="0.00%"/>
    </dxf>
    <dxf>
      <border>
        <left/>
        <right/>
        <top/>
        <bottom/>
        <vertical/>
      </border>
    </dxf>
    <dxf>
      <border>
        <left/>
        <right/>
        <top/>
        <bottom/>
        <vertical/>
      </border>
    </dxf>
    <dxf>
      <border>
        <left/>
        <right/>
        <top/>
        <bottom/>
        <vertical/>
      </border>
    </dxf>
    <dxf>
      <border>
        <left/>
        <right/>
        <top/>
        <bottom/>
        <vertical/>
      </border>
    </dxf>
    <dxf>
      <border>
        <left/>
        <right/>
        <top/>
        <bottom/>
        <vertical/>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patternType="solid">
          <bgColor rgb="FFFCF8E0"/>
        </patternFill>
      </fill>
    </dxf>
    <dxf>
      <fill>
        <patternFill patternType="solid">
          <bgColor rgb="FFFCF8E0"/>
        </patternFill>
      </fill>
    </dxf>
    <dxf>
      <fill>
        <patternFill patternType="solid">
          <bgColor rgb="FFFCF8E0"/>
        </patternFill>
      </fill>
    </dxf>
    <dxf>
      <fill>
        <patternFill patternType="solid">
          <bgColor rgb="FFFCF8E0"/>
        </patternFill>
      </fill>
    </dxf>
    <dxf>
      <fill>
        <patternFill patternType="solid">
          <bgColor rgb="FFFCF8E0"/>
        </patternFill>
      </fill>
    </dxf>
    <dxf>
      <fill>
        <patternFill patternType="solid">
          <bgColor rgb="FFFCF8E0"/>
        </patternFill>
      </fill>
    </dxf>
    <dxf>
      <font>
        <color theme="1"/>
      </font>
    </dxf>
    <dxf>
      <font>
        <color theme="1"/>
      </font>
    </dxf>
    <dxf>
      <font>
        <color theme="1"/>
      </font>
    </dxf>
    <dxf>
      <font>
        <color theme="1"/>
      </font>
    </dxf>
    <dxf>
      <font>
        <color theme="1"/>
      </font>
    </dxf>
    <dxf>
      <font>
        <color theme="1"/>
      </font>
    </dxf>
    <dxf>
      <numFmt numFmtId="14" formatCode="0.00%"/>
    </dxf>
    <dxf>
      <numFmt numFmtId="14" formatCode="0.00%"/>
    </dxf>
    <dxf>
      <fill>
        <patternFill>
          <bgColor theme="5" tint="0.39994506668294322"/>
        </patternFill>
      </fill>
    </dxf>
  </dxfs>
  <tableStyles count="4" defaultTableStyle="TableStyleMedium2" defaultPivotStyle="PivotStyleLight16">
    <tableStyle name="Slicer Style 1" pivot="0" table="0" count="1" xr9:uid="{00000000-0011-0000-FFFF-FFFF00000000}">
      <tableStyleElement type="wholeTable" dxfId="70"/>
    </tableStyle>
    <tableStyle name="Slicer Style 2" pivot="0" table="0" count="1" xr9:uid="{00000000-0011-0000-FFFF-FFFF01000000}"/>
    <tableStyle name="Slicer Style 3" pivot="0" table="0" count="1" xr9:uid="{00000000-0011-0000-FFFF-FFFF02000000}"/>
    <tableStyle name="Slicer Style 4" pivot="0" table="0" count="1" xr9:uid="{00000000-0011-0000-FFFF-FFFF03000000}"/>
  </tableStyles>
  <colors>
    <mruColors>
      <color rgb="FFC0C0C0"/>
      <color rgb="FFEAEAEA"/>
      <color rgb="FFFCF8E0"/>
    </mruColors>
  </colors>
  <extLst>
    <ext xmlns:x14="http://schemas.microsoft.com/office/spreadsheetml/2009/9/main" uri="{46F421CA-312F-682f-3DD2-61675219B42D}">
      <x14:dxfs count="3">
        <dxf>
          <fill>
            <patternFill>
              <bgColor theme="5" tint="-0.24994659260841701"/>
            </patternFill>
          </fill>
        </dxf>
        <dxf>
          <fill>
            <patternFill>
              <bgColor theme="5" tint="-0.499984740745262"/>
            </patternFill>
          </fill>
        </dxf>
        <dxf>
          <fill>
            <patternFill>
              <bgColor theme="9" tint="-0.24994659260841701"/>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selectedItemWithNoData" dxfId="2"/>
          </x14:slicerStyleElements>
        </x14:slicerStyle>
        <x14:slicerStyle name="Slicer Style 3">
          <x14:slicerStyleElements>
            <x14:slicerStyleElement type="hoveredSelectedItemWithData" dxfId="1"/>
          </x14:slicerStyleElements>
        </x14:slicerStyle>
        <x14:slicerStyle name="Slicer Style 4">
          <x14:slicerStyleElements>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[Sales Dashboard 1st.xlsm]Sales Dashboard!PivotTable1</c:name>
    <c:fmtId val="0"/>
  </c:pivotSource>
  <c:chart>
    <c:autoTitleDeleted val="1"/>
    <c:pivotFmts>
      <c:pivotFmt>
        <c:idx val="0"/>
        <c:spPr>
          <a:solidFill>
            <a:schemeClr val="accent2"/>
          </a:solidFill>
          <a:ln>
            <a:noFill/>
          </a:ln>
          <a:effectLst>
            <a:glow rad="63500">
              <a:schemeClr val="accent3">
                <a:satMod val="175000"/>
                <a:alpha val="40000"/>
              </a:schemeClr>
            </a:glow>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50" b="0" i="0" u="none" strike="noStrike" kern="1200" baseline="0">
                  <a:solidFill>
                    <a:schemeClr val="accent2">
                      <a:lumMod val="75000"/>
                    </a:schemeClr>
                  </a:solidFill>
                  <a:latin typeface="Bahnschrift SemiBold" panose="020B0502040204020203"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a:glow rad="63500">
              <a:schemeClr val="accent3">
                <a:satMod val="175000"/>
                <a:alpha val="40000"/>
              </a:schemeClr>
            </a:glow>
          </a:effectLst>
        </c:spPr>
      </c:pivotFmt>
      <c:pivotFmt>
        <c:idx val="2"/>
        <c:spPr>
          <a:solidFill>
            <a:schemeClr val="accent2"/>
          </a:solidFill>
          <a:ln>
            <a:noFill/>
          </a:ln>
          <a:effectLst>
            <a:glow rad="63500">
              <a:schemeClr val="accent3">
                <a:satMod val="175000"/>
                <a:alpha val="40000"/>
              </a:schemeClr>
            </a:glow>
          </a:effectLst>
        </c:spPr>
      </c:pivotFmt>
      <c:pivotFmt>
        <c:idx val="3"/>
        <c:spPr>
          <a:solidFill>
            <a:schemeClr val="accent2"/>
          </a:solidFill>
          <a:ln>
            <a:noFill/>
          </a:ln>
          <a:effectLst>
            <a:glow rad="63500">
              <a:schemeClr val="accent3">
                <a:satMod val="175000"/>
                <a:alpha val="40000"/>
              </a:schemeClr>
            </a:glow>
          </a:effectLst>
        </c:spPr>
      </c:pivotFmt>
      <c:pivotFmt>
        <c:idx val="4"/>
        <c:spPr>
          <a:solidFill>
            <a:schemeClr val="accent2"/>
          </a:solidFill>
          <a:ln>
            <a:noFill/>
          </a:ln>
          <a:effectLst>
            <a:glow rad="63500">
              <a:schemeClr val="accent3">
                <a:satMod val="175000"/>
                <a:alpha val="40000"/>
              </a:schemeClr>
            </a:glow>
          </a:effectLst>
        </c:spPr>
      </c:pivotFmt>
      <c:pivotFmt>
        <c:idx val="5"/>
        <c:spPr>
          <a:solidFill>
            <a:schemeClr val="accent2"/>
          </a:solidFill>
          <a:ln>
            <a:noFill/>
          </a:ln>
          <a:effectLst>
            <a:glow rad="63500">
              <a:schemeClr val="accent3">
                <a:satMod val="175000"/>
                <a:alpha val="40000"/>
              </a:schemeClr>
            </a:glow>
          </a:effectLst>
        </c:spPr>
      </c:pivotFmt>
    </c:pivotFmts>
    <c:plotArea>
      <c:layout/>
      <c:barChart>
        <c:barDir val="bar"/>
        <c:grouping val="clustered"/>
        <c:varyColors val="0"/>
        <c:ser>
          <c:idx val="0"/>
          <c:order val="0"/>
          <c:tx>
            <c:strRef>
              <c:f>'Sales Dashboard'!$C$9</c:f>
              <c:strCache>
                <c:ptCount val="1"/>
                <c:pt idx="0">
                  <c:v>Total</c:v>
                </c:pt>
              </c:strCache>
            </c:strRef>
          </c:tx>
          <c:spPr>
            <a:solidFill>
              <a:schemeClr val="accent2"/>
            </a:solidFill>
            <a:ln>
              <a:noFill/>
            </a:ln>
            <a:effectLst>
              <a:glow rad="63500">
                <a:schemeClr val="accent3">
                  <a:satMod val="175000"/>
                  <a:alpha val="40000"/>
                </a:schemeClr>
              </a:glo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50" b="0" i="0" u="none" strike="noStrike" kern="1200" baseline="0">
                    <a:solidFill>
                      <a:schemeClr val="accent2">
                        <a:lumMod val="75000"/>
                      </a:schemeClr>
                    </a:solidFill>
                    <a:latin typeface="Bahnschrift SemiBold" panose="020B0502040204020203"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Dashboard'!$B$10:$B$14</c:f>
              <c:strCache>
                <c:ptCount val="5"/>
                <c:pt idx="0">
                  <c:v>Anikuttan</c:v>
                </c:pt>
                <c:pt idx="1">
                  <c:v>Arvind Sharma</c:v>
                </c:pt>
                <c:pt idx="2">
                  <c:v>Jagdish Chandra</c:v>
                </c:pt>
                <c:pt idx="3">
                  <c:v>Miny Mole</c:v>
                </c:pt>
                <c:pt idx="4">
                  <c:v>Rachita Anupam</c:v>
                </c:pt>
              </c:strCache>
            </c:strRef>
          </c:cat>
          <c:val>
            <c:numRef>
              <c:f>'Sales Dashboard'!$C$10:$C$14</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CA8C-45CF-9A05-A02DCF9349B5}"/>
            </c:ext>
          </c:extLst>
        </c:ser>
        <c:dLbls>
          <c:showLegendKey val="0"/>
          <c:showVal val="0"/>
          <c:showCatName val="0"/>
          <c:showSerName val="0"/>
          <c:showPercent val="0"/>
          <c:showBubbleSize val="0"/>
        </c:dLbls>
        <c:gapWidth val="182"/>
        <c:axId val="-1964475184"/>
        <c:axId val="-1964465392"/>
      </c:barChart>
      <c:catAx>
        <c:axId val="-19644751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4465392"/>
        <c:crosses val="autoZero"/>
        <c:auto val="1"/>
        <c:lblAlgn val="ctr"/>
        <c:lblOffset val="100"/>
        <c:noMultiLvlLbl val="0"/>
      </c:catAx>
      <c:valAx>
        <c:axId val="-19644653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44751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[Sales Dashboard 1st.xlsm]Sales Dashboard!PivotTable4</c:name>
    <c:fmtId val="0"/>
  </c:pivotSource>
  <c:chart>
    <c:autoTitleDeleted val="1"/>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Bahnschrift SemiBold" panose="020B0502040204020203" pitchFamily="34" charset="0"/>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hade val="76000"/>
            </a:schemeClr>
          </a:solidFill>
          <a:ln w="19050">
            <a:solidFill>
              <a:schemeClr val="lt1"/>
            </a:solidFill>
          </a:ln>
          <a:effectLst/>
        </c:spPr>
      </c:pivotFmt>
      <c:pivotFmt>
        <c:idx val="2"/>
        <c:spPr>
          <a:solidFill>
            <a:schemeClr val="accent2"/>
          </a:solidFill>
          <a:ln w="19050">
            <a:solidFill>
              <a:schemeClr val="lt1"/>
            </a:solidFill>
          </a:ln>
          <a:effectLst/>
        </c:spPr>
      </c:pivotFmt>
      <c:pivotFmt>
        <c:idx val="3"/>
        <c:spPr>
          <a:solidFill>
            <a:schemeClr val="accent2"/>
          </a:solidFill>
          <a:ln w="19050">
            <a:solidFill>
              <a:schemeClr val="lt1"/>
            </a:solidFill>
          </a:ln>
          <a:effectLst/>
        </c:spPr>
      </c:pivotFmt>
      <c:pivotFmt>
        <c:idx val="4"/>
        <c:spPr>
          <a:solidFill>
            <a:schemeClr val="accent2">
              <a:tint val="54000"/>
            </a:schemeClr>
          </a:solidFill>
          <a:ln w="19050">
            <a:solidFill>
              <a:schemeClr val="lt1"/>
            </a:solidFill>
          </a:ln>
          <a:effectLst/>
        </c:spPr>
      </c:pivotFmt>
      <c:pivotFmt>
        <c:idx val="5"/>
        <c:spPr>
          <a:solidFill>
            <a:schemeClr val="accent2"/>
          </a:solidFill>
          <a:ln w="19050">
            <a:solidFill>
              <a:schemeClr val="lt1"/>
            </a:solidFill>
          </a:ln>
          <a:effectLst/>
        </c:spPr>
      </c:pivotFmt>
      <c:pivotFmt>
        <c:idx val="6"/>
      </c:pivotFmt>
      <c:pivotFmt>
        <c:idx val="7"/>
      </c:pivotFmt>
      <c:pivotFmt>
        <c:idx val="8"/>
      </c:pivotFmt>
      <c:pivotFmt>
        <c:idx val="9"/>
      </c:pivotFmt>
      <c:pivotFmt>
        <c:idx val="10"/>
      </c:pivotFmt>
      <c:pivotFmt>
        <c:idx val="11"/>
        <c:spPr>
          <a:solidFill>
            <a:schemeClr val="accent2">
              <a:tint val="54000"/>
            </a:schemeClr>
          </a:solidFill>
          <a:ln w="19050">
            <a:solidFill>
              <a:schemeClr val="lt1"/>
            </a:solidFill>
          </a:ln>
          <a:effectLst/>
        </c:spPr>
      </c:pivotFmt>
      <c:pivotFmt>
        <c:idx val="12"/>
        <c:spPr>
          <a:solidFill>
            <a:schemeClr val="accent2">
              <a:tint val="77000"/>
            </a:schemeClr>
          </a:solidFill>
          <a:ln w="19050">
            <a:solidFill>
              <a:schemeClr val="lt1"/>
            </a:solidFill>
          </a:ln>
          <a:effectLst/>
        </c:spPr>
      </c:pivotFmt>
      <c:pivotFmt>
        <c:idx val="13"/>
        <c:spPr>
          <a:solidFill>
            <a:schemeClr val="accent2">
              <a:shade val="76000"/>
            </a:schemeClr>
          </a:solidFill>
          <a:ln w="19050">
            <a:solidFill>
              <a:schemeClr val="lt1"/>
            </a:solidFill>
          </a:ln>
          <a:effectLst/>
        </c:spPr>
      </c:pivotFmt>
      <c:pivotFmt>
        <c:idx val="14"/>
        <c:spPr>
          <a:solidFill>
            <a:schemeClr val="accent2">
              <a:tint val="77000"/>
            </a:schemeClr>
          </a:solidFill>
          <a:ln w="19050">
            <a:solidFill>
              <a:schemeClr val="lt1"/>
            </a:solidFill>
          </a:ln>
          <a:effectLst/>
        </c:spPr>
      </c:pivotFmt>
      <c:pivotFmt>
        <c:idx val="15"/>
        <c:spPr>
          <a:solidFill>
            <a:schemeClr val="accent2">
              <a:shade val="53000"/>
            </a:schemeClr>
          </a:solidFill>
          <a:ln w="19050">
            <a:solidFill>
              <a:schemeClr val="lt1"/>
            </a:solidFill>
          </a:ln>
          <a:effectLst/>
        </c:spPr>
      </c:pivotFmt>
    </c:pivotFmts>
    <c:plotArea>
      <c:layout>
        <c:manualLayout>
          <c:layoutTarget val="inner"/>
          <c:xMode val="edge"/>
          <c:yMode val="edge"/>
          <c:x val="0.11092271802538285"/>
          <c:y val="0.10845235660451871"/>
          <c:w val="0.79637564095574498"/>
          <c:h val="0.80060514293609997"/>
        </c:manualLayout>
      </c:layout>
      <c:pieChart>
        <c:varyColors val="1"/>
        <c:ser>
          <c:idx val="0"/>
          <c:order val="0"/>
          <c:tx>
            <c:strRef>
              <c:f>'Sales Dashboard'!$I$9</c:f>
              <c:strCache>
                <c:ptCount val="1"/>
                <c:pt idx="0">
                  <c:v>Total</c:v>
                </c:pt>
              </c:strCache>
            </c:strRef>
          </c:tx>
          <c:explosion val="1"/>
          <c:dPt>
            <c:idx val="0"/>
            <c:bubble3D val="0"/>
            <c:spPr>
              <a:solidFill>
                <a:schemeClr val="accent2">
                  <a:tint val="54000"/>
                </a:schemeClr>
              </a:solidFill>
              <a:ln w="19050">
                <a:solidFill>
                  <a:schemeClr val="lt1"/>
                </a:solidFill>
              </a:ln>
              <a:effectLst/>
            </c:spPr>
            <c:extLst>
              <c:ext xmlns:c16="http://schemas.microsoft.com/office/drawing/2014/chart" uri="{C3380CC4-5D6E-409C-BE32-E72D297353CC}">
                <c16:uniqueId val="{00000002-0DD8-4FAC-A840-CAB6969E88C7}"/>
              </c:ext>
            </c:extLst>
          </c:dPt>
          <c:dPt>
            <c:idx val="1"/>
            <c:bubble3D val="0"/>
            <c:spPr>
              <a:solidFill>
                <a:schemeClr val="accent2">
                  <a:tint val="77000"/>
                </a:schemeClr>
              </a:solidFill>
              <a:ln w="19050">
                <a:solidFill>
                  <a:schemeClr val="lt1"/>
                </a:solidFill>
              </a:ln>
              <a:effectLst/>
            </c:spPr>
            <c:extLst>
              <c:ext xmlns:c16="http://schemas.microsoft.com/office/drawing/2014/chart" uri="{C3380CC4-5D6E-409C-BE32-E72D297353CC}">
                <c16:uniqueId val="{00000003-0DD8-4FAC-A840-CAB6969E88C7}"/>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4-0DD8-4FAC-A840-CAB6969E88C7}"/>
              </c:ext>
            </c:extLst>
          </c:dPt>
          <c:dPt>
            <c:idx val="3"/>
            <c:bubble3D val="0"/>
            <c:spPr>
              <a:solidFill>
                <a:schemeClr val="accent2">
                  <a:shade val="76000"/>
                </a:schemeClr>
              </a:solidFill>
              <a:ln w="19050">
                <a:solidFill>
                  <a:schemeClr val="lt1"/>
                </a:solidFill>
              </a:ln>
              <a:effectLst/>
            </c:spPr>
            <c:extLst>
              <c:ext xmlns:c16="http://schemas.microsoft.com/office/drawing/2014/chart" uri="{C3380CC4-5D6E-409C-BE32-E72D297353CC}">
                <c16:uniqueId val="{00000005-0DD8-4FAC-A840-CAB6969E88C7}"/>
              </c:ext>
            </c:extLst>
          </c:dPt>
          <c:dPt>
            <c:idx val="4"/>
            <c:bubble3D val="0"/>
            <c:spPr>
              <a:solidFill>
                <a:schemeClr val="accent2">
                  <a:shade val="53000"/>
                </a:schemeClr>
              </a:solidFill>
              <a:ln w="19050">
                <a:solidFill>
                  <a:schemeClr val="lt1"/>
                </a:solidFill>
              </a:ln>
              <a:effectLst/>
            </c:spPr>
            <c:extLst>
              <c:ext xmlns:c16="http://schemas.microsoft.com/office/drawing/2014/chart" uri="{C3380CC4-5D6E-409C-BE32-E72D297353CC}">
                <c16:uniqueId val="{00000001-0DD8-4FAC-A840-CAB6969E88C7}"/>
              </c:ext>
            </c:extLst>
          </c:dPt>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Bahnschrift SemiBold" panose="020B0502040204020203" pitchFamily="34" charset="0"/>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'Sales Dashboard'!$H$10:$H$14</c:f>
              <c:strCache>
                <c:ptCount val="5"/>
                <c:pt idx="0">
                  <c:v>Anoop Narayan</c:v>
                </c:pt>
                <c:pt idx="1">
                  <c:v>Arvind Sharma</c:v>
                </c:pt>
                <c:pt idx="2">
                  <c:v>Julie S</c:v>
                </c:pt>
                <c:pt idx="3">
                  <c:v>Prasannakumari S</c:v>
                </c:pt>
                <c:pt idx="4">
                  <c:v>Shankar Attendant</c:v>
                </c:pt>
              </c:strCache>
            </c:strRef>
          </c:cat>
          <c:val>
            <c:numRef>
              <c:f>'Sales Dashboard'!$I$10:$I$14</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0DD8-4FAC-A840-CAB6969E88C7}"/>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[Sales Dashboard 1st.xlsm]Sales Dashboard!PivotTable5</c:name>
    <c:fmtId val="0"/>
  </c:pivotSource>
  <c:chart>
    <c:autoTitleDeleted val="1"/>
    <c:pivotFmts>
      <c:pivotFmt>
        <c:idx val="0"/>
        <c:spPr>
          <a:ln w="34925" cap="rnd">
            <a:solidFill>
              <a:schemeClr val="accent2"/>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50" b="0" i="0" u="none" strike="noStrike" kern="1200" baseline="0">
                  <a:solidFill>
                    <a:schemeClr val="tx1">
                      <a:lumMod val="75000"/>
                      <a:lumOff val="25000"/>
                    </a:schemeClr>
                  </a:solidFill>
                  <a:latin typeface="Bahnschrift SemiBold" panose="020B0502040204020203" pitchFamily="34" charset="0"/>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0001969129770395E-2"/>
          <c:y val="0.13232592573767185"/>
          <c:w val="0.81729837130414085"/>
          <c:h val="0.69221545438031407"/>
        </c:manualLayout>
      </c:layout>
      <c:lineChart>
        <c:grouping val="standard"/>
        <c:varyColors val="0"/>
        <c:ser>
          <c:idx val="0"/>
          <c:order val="0"/>
          <c:tx>
            <c:strRef>
              <c:f>'Sales Dashboard'!$L$9</c:f>
              <c:strCache>
                <c:ptCount val="1"/>
                <c:pt idx="0">
                  <c:v>Total</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lIns="38100" tIns="19050" rIns="38100" bIns="19050" anchor="ctr" anchorCtr="0">
                <a:spAutoFit/>
              </a:bodyPr>
              <a:lstStyle/>
              <a:p>
                <a:pPr algn="ctr">
                  <a:defRPr lang="en-US" sz="1050" b="0" i="0" u="none" strike="noStrike" kern="1200" baseline="0">
                    <a:solidFill>
                      <a:schemeClr val="tx1">
                        <a:lumMod val="75000"/>
                        <a:lumOff val="25000"/>
                      </a:schemeClr>
                    </a:solidFill>
                    <a:latin typeface="Bahnschrift SemiBold" panose="020B0502040204020203" pitchFamily="34" charset="0"/>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Dashboard'!$K$10:$K$14</c:f>
              <c:strCache>
                <c:ptCount val="5"/>
                <c:pt idx="0">
                  <c:v>Azam</c:v>
                </c:pt>
                <c:pt idx="1">
                  <c:v>Heeramani Choudhary</c:v>
                </c:pt>
                <c:pt idx="2">
                  <c:v>Nitin Bhatia</c:v>
                </c:pt>
                <c:pt idx="3">
                  <c:v>Renu Pratap</c:v>
                </c:pt>
                <c:pt idx="4">
                  <c:v>Surendranath Thakur</c:v>
                </c:pt>
              </c:strCache>
            </c:strRef>
          </c:cat>
          <c:val>
            <c:numRef>
              <c:f>'Sales Dashboard'!$L$10:$L$14</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5562-48B5-B585-C2DECE4B1F02}"/>
            </c:ext>
          </c:extLst>
        </c:ser>
        <c:dLbls>
          <c:dLblPos val="t"/>
          <c:showLegendKey val="0"/>
          <c:showVal val="1"/>
          <c:showCatName val="0"/>
          <c:showSerName val="0"/>
          <c:showPercent val="0"/>
          <c:showBubbleSize val="0"/>
        </c:dLbls>
        <c:smooth val="0"/>
        <c:axId val="-1964464848"/>
        <c:axId val="-1964463216"/>
      </c:lineChart>
      <c:catAx>
        <c:axId val="-1964464848"/>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4463216"/>
        <c:crosses val="autoZero"/>
        <c:auto val="1"/>
        <c:lblAlgn val="ctr"/>
        <c:lblOffset val="100"/>
        <c:noMultiLvlLbl val="0"/>
      </c:catAx>
      <c:valAx>
        <c:axId val="-1964463216"/>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crossAx val="-1964464848"/>
        <c:crosses val="autoZero"/>
        <c:crossBetween val="between"/>
      </c:valAx>
      <c:spPr>
        <a:noFill/>
        <a:ln>
          <a:solidFill>
            <a:schemeClr val="bg1">
              <a:lumMod val="85000"/>
            </a:schemeClr>
          </a:solidFill>
        </a:ln>
        <a:effectLst/>
      </c:spPr>
    </c:plotArea>
    <c:legend>
      <c:legendPos val="r"/>
      <c:layout>
        <c:manualLayout>
          <c:xMode val="edge"/>
          <c:yMode val="edge"/>
          <c:x val="0.84353178019350095"/>
          <c:y val="5.3222461508159895E-2"/>
          <c:w val="0.13260833805799349"/>
          <c:h val="6.464445822336112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olors1.xml><?xml version="1.0" encoding="utf-8"?>
<cs:colorStyle xmlns:cs="http://schemas.microsoft.com/office/drawing/2012/chartStyle" xmlns:a="http://schemas.openxmlformats.org/drawingml/2006/main" meth="withinLinearReversed" id="22">
  <a:schemeClr val="accent2"/>
</cs:colorStyle>
</file>

<file path=xl/charts/colors2.xml><?xml version="1.0" encoding="utf-8"?>
<cs:colorStyle xmlns:cs="http://schemas.microsoft.com/office/drawing/2012/chartStyle" xmlns:a="http://schemas.openxmlformats.org/drawingml/2006/main" meth="withinLinearReversed" id="22">
  <a:schemeClr val="accent2"/>
</cs:colorStyle>
</file>

<file path=xl/charts/colors3.xml><?xml version="1.0" encoding="utf-8"?>
<cs:colorStyle xmlns:cs="http://schemas.microsoft.com/office/drawing/2012/chartStyle" xmlns:a="http://schemas.openxmlformats.org/drawingml/2006/main" meth="withinLinearReversed" id="22">
  <a:schemeClr val="accent2"/>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B$2" lockText="1" noThreeD="1"/>
</file>

<file path=xl/ctrlProps/ctrlProp2.xml><?xml version="1.0" encoding="utf-8"?>
<formControlPr xmlns="http://schemas.microsoft.com/office/spreadsheetml/2009/9/main" objectType="CheckBox" checked="Checked" fmlaLink="$E$2" lockText="1" noThreeD="1"/>
</file>

<file path=xl/ctrlProps/ctrlProp3.xml><?xml version="1.0" encoding="utf-8"?>
<formControlPr xmlns="http://schemas.microsoft.com/office/spreadsheetml/2009/9/main" objectType="CheckBox" checked="Checked" fmlaLink="$I$2" lockText="1" noThreeD="1"/>
</file>

<file path=xl/ctrlProps/ctrlProp4.xml><?xml version="1.0" encoding="utf-8"?>
<formControlPr xmlns="http://schemas.microsoft.com/office/spreadsheetml/2009/9/main" objectType="CheckBox" checked="Checked" fmlaLink="$L$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0</xdr:colOff>
      <xdr:row>15</xdr:row>
      <xdr:rowOff>89646</xdr:rowOff>
    </xdr:from>
    <xdr:to>
      <xdr:col>5</xdr:col>
      <xdr:colOff>217715</xdr:colOff>
      <xdr:row>34</xdr:row>
      <xdr:rowOff>158481</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291352</xdr:colOff>
      <xdr:row>15</xdr:row>
      <xdr:rowOff>89647</xdr:rowOff>
    </xdr:from>
    <xdr:to>
      <xdr:col>7</xdr:col>
      <xdr:colOff>1266264</xdr:colOff>
      <xdr:row>34</xdr:row>
      <xdr:rowOff>149678</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47352</xdr:colOff>
      <xdr:row>15</xdr:row>
      <xdr:rowOff>89647</xdr:rowOff>
    </xdr:from>
    <xdr:to>
      <xdr:col>11</xdr:col>
      <xdr:colOff>1487261</xdr:colOff>
      <xdr:row>34</xdr:row>
      <xdr:rowOff>145676</xdr:rowOff>
    </xdr:to>
    <xdr:graphicFrame macro="">
      <xdr:nvGraphicFramePr>
        <xdr:cNvPr id="4" name="Chart 3">
          <a:extLst>
            <a:ext uri="{FF2B5EF4-FFF2-40B4-BE49-F238E27FC236}">
              <a16:creationId xmlns:a16="http://schemas.microsoft.com/office/drawing/2014/main" id="{00000000-0008-0000-1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246529</xdr:colOff>
      <xdr:row>1</xdr:row>
      <xdr:rowOff>39222</xdr:rowOff>
    </xdr:from>
    <xdr:to>
      <xdr:col>11</xdr:col>
      <xdr:colOff>1467971</xdr:colOff>
      <xdr:row>2</xdr:row>
      <xdr:rowOff>11205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11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46529" y="218516"/>
              <a:ext cx="13032442" cy="47624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67235</xdr:colOff>
      <xdr:row>2</xdr:row>
      <xdr:rowOff>100853</xdr:rowOff>
    </xdr:from>
    <xdr:to>
      <xdr:col>12</xdr:col>
      <xdr:colOff>33618</xdr:colOff>
      <xdr:row>4</xdr:row>
      <xdr:rowOff>44824</xdr:rowOff>
    </xdr:to>
    <xdr:sp macro="" textlink="">
      <xdr:nvSpPr>
        <xdr:cNvPr id="8" name="TextBox 7">
          <a:extLst>
            <a:ext uri="{FF2B5EF4-FFF2-40B4-BE49-F238E27FC236}">
              <a16:creationId xmlns:a16="http://schemas.microsoft.com/office/drawing/2014/main" id="{00000000-0008-0000-1100-000008000000}"/>
            </a:ext>
          </a:extLst>
        </xdr:cNvPr>
        <xdr:cNvSpPr txBox="1"/>
      </xdr:nvSpPr>
      <xdr:spPr>
        <a:xfrm>
          <a:off x="67235" y="605118"/>
          <a:ext cx="12830736" cy="5378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3200" baseline="0">
              <a:solidFill>
                <a:schemeClr val="accent2">
                  <a:lumMod val="40000"/>
                  <a:lumOff val="60000"/>
                </a:schemeClr>
              </a:solidFill>
              <a:latin typeface="Stencil" panose="040409050D0802020404" pitchFamily="82" charset="0"/>
            </a:rPr>
            <a:t>SALES DASHBOARD</a:t>
          </a:r>
        </a:p>
      </xdr:txBody>
    </xdr:sp>
    <xdr:clientData/>
  </xdr:twoCellAnchor>
  <xdr:twoCellAnchor>
    <xdr:from>
      <xdr:col>1</xdr:col>
      <xdr:colOff>449036</xdr:colOff>
      <xdr:row>4</xdr:row>
      <xdr:rowOff>108857</xdr:rowOff>
    </xdr:from>
    <xdr:to>
      <xdr:col>2</xdr:col>
      <xdr:colOff>762000</xdr:colOff>
      <xdr:row>6</xdr:row>
      <xdr:rowOff>95249</xdr:rowOff>
    </xdr:to>
    <xdr:sp macro="" textlink="">
      <xdr:nvSpPr>
        <xdr:cNvPr id="5" name="Rectangle: Rounded Corners 4">
          <a:extLst>
            <a:ext uri="{FF2B5EF4-FFF2-40B4-BE49-F238E27FC236}">
              <a16:creationId xmlns:a16="http://schemas.microsoft.com/office/drawing/2014/main" id="{00000000-0008-0000-1100-000005000000}"/>
            </a:ext>
          </a:extLst>
        </xdr:cNvPr>
        <xdr:cNvSpPr/>
      </xdr:nvSpPr>
      <xdr:spPr>
        <a:xfrm>
          <a:off x="449036" y="1207033"/>
          <a:ext cx="1859376" cy="344981"/>
        </a:xfrm>
        <a:prstGeom prst="roundRect">
          <a:avLst/>
        </a:prstGeom>
        <a:solidFill>
          <a:schemeClr val="accent2">
            <a:lumMod val="40000"/>
            <a:lumOff val="60000"/>
          </a:schemeClr>
        </a:solidFill>
        <a:effectLst>
          <a:reflection blurRad="6350" stA="52000" endA="300" endPos="350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600" baseline="0">
              <a:solidFill>
                <a:schemeClr val="tx1"/>
              </a:solidFill>
              <a:latin typeface="Cambria Math" panose="02040503050406030204" pitchFamily="18" charset="0"/>
              <a:ea typeface="Cambria Math" panose="02040503050406030204" pitchFamily="18" charset="0"/>
              <a:cs typeface="+mn-cs"/>
            </a:rPr>
            <a:t>Dashboard 1</a:t>
          </a:r>
        </a:p>
      </xdr:txBody>
    </xdr:sp>
    <xdr:clientData/>
  </xdr:twoCellAnchor>
  <mc:AlternateContent xmlns:mc="http://schemas.openxmlformats.org/markup-compatibility/2006">
    <mc:Choice xmlns:a14="http://schemas.microsoft.com/office/drawing/2010/main" Requires="a14">
      <xdr:twoCellAnchor editAs="oneCell">
        <xdr:from>
          <xdr:col>1</xdr:col>
          <xdr:colOff>590550</xdr:colOff>
          <xdr:row>4</xdr:row>
          <xdr:rowOff>114300</xdr:rowOff>
        </xdr:from>
        <xdr:to>
          <xdr:col>2</xdr:col>
          <xdr:colOff>466725</xdr:colOff>
          <xdr:row>6</xdr:row>
          <xdr:rowOff>66675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313765</xdr:colOff>
      <xdr:row>4</xdr:row>
      <xdr:rowOff>122465</xdr:rowOff>
    </xdr:from>
    <xdr:to>
      <xdr:col>5</xdr:col>
      <xdr:colOff>1129392</xdr:colOff>
      <xdr:row>6</xdr:row>
      <xdr:rowOff>108857</xdr:rowOff>
    </xdr:to>
    <xdr:sp macro="" textlink="">
      <xdr:nvSpPr>
        <xdr:cNvPr id="11" name="Rectangle: Rounded Corners 10">
          <a:extLst>
            <a:ext uri="{FF2B5EF4-FFF2-40B4-BE49-F238E27FC236}">
              <a16:creationId xmlns:a16="http://schemas.microsoft.com/office/drawing/2014/main" id="{00000000-0008-0000-1100-00000B000000}"/>
            </a:ext>
          </a:extLst>
        </xdr:cNvPr>
        <xdr:cNvSpPr/>
      </xdr:nvSpPr>
      <xdr:spPr>
        <a:xfrm>
          <a:off x="3798794" y="1399936"/>
          <a:ext cx="1969833" cy="344980"/>
        </a:xfrm>
        <a:prstGeom prst="roundRect">
          <a:avLst/>
        </a:prstGeom>
        <a:solidFill>
          <a:schemeClr val="accent2">
            <a:lumMod val="40000"/>
            <a:lumOff val="60000"/>
          </a:schemeClr>
        </a:solidFill>
        <a:effectLst>
          <a:reflection blurRad="6350" stA="52000" endA="300" endPos="350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600" baseline="0">
              <a:solidFill>
                <a:schemeClr val="tx1"/>
              </a:solidFill>
              <a:latin typeface="Cambria Math" panose="02040503050406030204" pitchFamily="18" charset="0"/>
              <a:ea typeface="Cambria Math" panose="02040503050406030204" pitchFamily="18" charset="0"/>
              <a:cs typeface="+mn-cs"/>
            </a:rPr>
            <a:t>Dashboard 2</a:t>
          </a:r>
        </a:p>
      </xdr:txBody>
    </xdr:sp>
    <xdr:clientData/>
  </xdr:twoCellAnchor>
  <mc:AlternateContent xmlns:mc="http://schemas.openxmlformats.org/markup-compatibility/2006">
    <mc:Choice xmlns:a14="http://schemas.microsoft.com/office/drawing/2010/main" Requires="a14">
      <xdr:twoCellAnchor editAs="oneCell">
        <xdr:from>
          <xdr:col>4</xdr:col>
          <xdr:colOff>523875</xdr:colOff>
          <xdr:row>4</xdr:row>
          <xdr:rowOff>114300</xdr:rowOff>
        </xdr:from>
        <xdr:to>
          <xdr:col>5</xdr:col>
          <xdr:colOff>923925</xdr:colOff>
          <xdr:row>6</xdr:row>
          <xdr:rowOff>95250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168087</xdr:colOff>
      <xdr:row>4</xdr:row>
      <xdr:rowOff>120064</xdr:rowOff>
    </xdr:from>
    <xdr:to>
      <xdr:col>8</xdr:col>
      <xdr:colOff>773206</xdr:colOff>
      <xdr:row>6</xdr:row>
      <xdr:rowOff>106456</xdr:rowOff>
    </xdr:to>
    <xdr:sp macro="" textlink="">
      <xdr:nvSpPr>
        <xdr:cNvPr id="13" name="Rectangle: Rounded Corners 12">
          <a:extLst>
            <a:ext uri="{FF2B5EF4-FFF2-40B4-BE49-F238E27FC236}">
              <a16:creationId xmlns:a16="http://schemas.microsoft.com/office/drawing/2014/main" id="{00000000-0008-0000-1100-00000D000000}"/>
            </a:ext>
          </a:extLst>
        </xdr:cNvPr>
        <xdr:cNvSpPr/>
      </xdr:nvSpPr>
      <xdr:spPr>
        <a:xfrm>
          <a:off x="7317440" y="1397535"/>
          <a:ext cx="1916207" cy="344980"/>
        </a:xfrm>
        <a:prstGeom prst="roundRect">
          <a:avLst/>
        </a:prstGeom>
        <a:solidFill>
          <a:schemeClr val="accent2">
            <a:lumMod val="40000"/>
            <a:lumOff val="60000"/>
          </a:schemeClr>
        </a:solidFill>
        <a:effectLst>
          <a:reflection blurRad="6350" stA="52000" endA="300" endPos="350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600" baseline="0">
              <a:solidFill>
                <a:schemeClr val="tx1"/>
              </a:solidFill>
              <a:latin typeface="Cambria Math" panose="02040503050406030204" pitchFamily="18" charset="0"/>
              <a:ea typeface="Cambria Math" panose="02040503050406030204" pitchFamily="18" charset="0"/>
              <a:cs typeface="+mn-cs"/>
            </a:rPr>
            <a:t>Dashboard 3</a:t>
          </a:r>
        </a:p>
      </xdr:txBody>
    </xdr:sp>
    <xdr:clientData/>
  </xdr:twoCellAnchor>
  <mc:AlternateContent xmlns:mc="http://schemas.openxmlformats.org/markup-compatibility/2006">
    <mc:Choice xmlns:a14="http://schemas.microsoft.com/office/drawing/2010/main" Requires="a14">
      <xdr:twoCellAnchor editAs="oneCell">
        <xdr:from>
          <xdr:col>7</xdr:col>
          <xdr:colOff>361950</xdr:colOff>
          <xdr:row>4</xdr:row>
          <xdr:rowOff>114300</xdr:rowOff>
        </xdr:from>
        <xdr:to>
          <xdr:col>8</xdr:col>
          <xdr:colOff>552450</xdr:colOff>
          <xdr:row>6</xdr:row>
          <xdr:rowOff>76200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10</xdr:col>
      <xdr:colOff>313764</xdr:colOff>
      <xdr:row>4</xdr:row>
      <xdr:rowOff>115262</xdr:rowOff>
    </xdr:from>
    <xdr:to>
      <xdr:col>11</xdr:col>
      <xdr:colOff>829236</xdr:colOff>
      <xdr:row>6</xdr:row>
      <xdr:rowOff>101654</xdr:rowOff>
    </xdr:to>
    <xdr:sp macro="" textlink="">
      <xdr:nvSpPr>
        <xdr:cNvPr id="15" name="Rectangle: Rounded Corners 14">
          <a:extLst>
            <a:ext uri="{FF2B5EF4-FFF2-40B4-BE49-F238E27FC236}">
              <a16:creationId xmlns:a16="http://schemas.microsoft.com/office/drawing/2014/main" id="{00000000-0008-0000-1100-00000F000000}"/>
            </a:ext>
          </a:extLst>
        </xdr:cNvPr>
        <xdr:cNvSpPr/>
      </xdr:nvSpPr>
      <xdr:spPr>
        <a:xfrm>
          <a:off x="10634382" y="1392733"/>
          <a:ext cx="2005854" cy="344980"/>
        </a:xfrm>
        <a:prstGeom prst="roundRect">
          <a:avLst/>
        </a:prstGeom>
        <a:solidFill>
          <a:schemeClr val="accent2">
            <a:lumMod val="40000"/>
            <a:lumOff val="60000"/>
          </a:schemeClr>
        </a:solidFill>
        <a:effectLst>
          <a:reflection blurRad="6350" stA="52000" endA="300" endPos="350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600" baseline="0">
              <a:solidFill>
                <a:schemeClr val="tx1"/>
              </a:solidFill>
              <a:latin typeface="Cambria Math" panose="02040503050406030204" pitchFamily="18" charset="0"/>
              <a:ea typeface="Cambria Math" panose="02040503050406030204" pitchFamily="18" charset="0"/>
              <a:cs typeface="+mn-cs"/>
            </a:rPr>
            <a:t>Dashboard 4</a:t>
          </a:r>
        </a:p>
      </xdr:txBody>
    </xdr:sp>
    <xdr:clientData/>
  </xdr:twoCellAnchor>
  <mc:AlternateContent xmlns:mc="http://schemas.openxmlformats.org/markup-compatibility/2006">
    <mc:Choice xmlns:a14="http://schemas.microsoft.com/office/drawing/2010/main" Requires="a14">
      <xdr:twoCellAnchor editAs="oneCell">
        <xdr:from>
          <xdr:col>10</xdr:col>
          <xdr:colOff>523875</xdr:colOff>
          <xdr:row>4</xdr:row>
          <xdr:rowOff>123825</xdr:rowOff>
        </xdr:from>
        <xdr:to>
          <xdr:col>11</xdr:col>
          <xdr:colOff>638175</xdr:colOff>
          <xdr:row>6</xdr:row>
          <xdr:rowOff>95250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10" refreshedDate="46009.428801851849" createdVersion="6" refreshedVersion="6" minRefreshableVersion="3" recordCount="141" xr:uid="{00000000-000A-0000-FFFF-FFFF00000000}">
  <cacheSource type="worksheet">
    <worksheetSource ref="A1:L142" sheet="Source Data"/>
  </cacheSource>
  <cacheFields count="12">
    <cacheField name="Emp Code" numFmtId="14">
      <sharedItems/>
    </cacheField>
    <cacheField name="Sales Executive" numFmtId="0">
      <sharedItems count="274">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 v="Formula1" f="1"/>
        <s v="Formula2" f="1"/>
        <s v="Formula3" f="1"/>
        <s v="Formula4" f="1"/>
        <s v="Formula5" f="1"/>
        <s v="Formula6" f="1"/>
        <s v="Formula7" f="1"/>
        <s v="Formula8" f="1"/>
        <s v="Formula9" f="1"/>
        <s v="Formula10" f="1"/>
        <s v="Formula11" f="1"/>
        <s v="Formula12" f="1"/>
        <s v="Formula13" f="1"/>
        <s v="Formula14" f="1"/>
        <s v="Formula15" f="1"/>
        <s v="Formula16" f="1"/>
        <s v="Formula17" f="1"/>
        <s v="Formula18" f="1"/>
        <s v="Formula19" f="1"/>
        <s v="Formula20" f="1"/>
        <s v="Formula21" f="1"/>
        <s v="Formula22" f="1"/>
        <s v="Formula23" f="1"/>
        <s v="Formula24" f="1"/>
        <s v="Formula25" f="1"/>
        <s v="Formula26" f="1"/>
        <s v="Formula27" f="1"/>
        <s v="Formula28" f="1"/>
        <s v="Formula29" f="1"/>
        <s v="Formula30" f="1"/>
        <s v="Formula31" f="1"/>
        <s v="Formula32" f="1"/>
        <s v="Formula33" f="1"/>
        <s v="Formula34" f="1"/>
        <s v="Formula35" f="1"/>
        <s v="Formula36" f="1"/>
        <s v="Formula37" f="1"/>
        <s v="Formula38" f="1"/>
        <s v="Formula39" f="1"/>
        <s v="Formula40" f="1"/>
        <s v="Formula41" f="1"/>
        <s v="Formula42" f="1"/>
        <s v="Formula43" f="1"/>
        <s v="Formula44" f="1"/>
        <s v="Formula45" f="1"/>
        <s v="Formula46" f="1"/>
        <s v="Formula47" f="1"/>
        <s v="Formula48" f="1"/>
        <s v="Formula49" f="1"/>
        <s v="Formula50" f="1"/>
        <s v="Formula51" f="1"/>
        <s v="Formula52" f="1"/>
        <s v="Formula53" f="1"/>
        <s v="Formula54" f="1"/>
        <s v="Formula55" f="1"/>
        <s v="Formula56" f="1"/>
        <s v="Formula57" f="1"/>
        <s v="Formula58" f="1"/>
        <s v="Formula59" f="1"/>
        <s v="Formula60" f="1"/>
        <s v="Formula61" f="1"/>
        <s v="Formula62" f="1"/>
        <s v="Formula63" f="1"/>
        <s v="Formula64" f="1"/>
        <s v="Formula65" f="1"/>
        <s v="Formula66" f="1"/>
        <s v="Formula67" f="1"/>
        <s v="Formula68" f="1"/>
        <s v="Formula69" f="1"/>
        <s v="Formula70" f="1"/>
        <s v="Formula71" f="1"/>
        <s v="Formula72" f="1"/>
        <s v="Formula73" f="1"/>
        <s v="Formula74" f="1"/>
        <s v="Formula75" f="1"/>
        <s v="Formula76" f="1"/>
        <s v="Formula77" f="1"/>
        <s v="Formula78" f="1"/>
        <s v="Formula79" f="1"/>
        <s v="Formula80" f="1"/>
        <s v="Formula81" f="1"/>
        <s v="Formula82" f="1"/>
        <s v="Formula83" f="1"/>
        <s v="Formula84" f="1"/>
        <s v="Formula85" f="1"/>
        <s v="Formula86" f="1"/>
        <s v="Formula87" f="1"/>
        <s v="Formula88" f="1"/>
        <s v="Formula89" f="1"/>
        <s v="Formula90" f="1"/>
        <s v="Formula91" f="1"/>
        <s v="Formula92" f="1"/>
        <s v="Formula93" f="1"/>
        <s v="Formula94" f="1"/>
        <s v="Formula95" f="1"/>
        <s v="Formula96" f="1"/>
        <s v="Formula97" f="1"/>
        <s v="Formula98" f="1"/>
        <s v="Formula99" f="1"/>
        <s v="Formula100" f="1"/>
        <s v="Formula101" f="1"/>
        <s v="Formula102" f="1"/>
        <s v="Formula103" f="1"/>
        <s v="Formula104" f="1"/>
        <s v="Formula105" f="1"/>
        <s v="Formula106" f="1"/>
        <s v="Formula107" f="1"/>
        <s v="Formula108" f="1"/>
        <s v="Formula109" f="1"/>
        <s v="Formula110" f="1"/>
        <s v="Formula111" f="1"/>
        <s v="Formula112" f="1"/>
        <s v="Formula113" f="1"/>
        <s v="Formula114" f="1"/>
        <s v="Formula115" f="1"/>
        <s v="Formula116" f="1"/>
        <s v="Formula117" f="1"/>
        <s v="Formula118" f="1"/>
        <s v="Formula119" f="1"/>
        <s v="Formula120" f="1"/>
        <s v="Formula121" f="1"/>
        <s v="Formula122" f="1"/>
        <s v="Formula123" f="1"/>
        <s v="Formula124" f="1"/>
        <s v="Formula125" f="1"/>
        <s v="Formula126" f="1"/>
        <s v="Formula127" f="1"/>
        <s v="Formula128" f="1"/>
        <s v="Formula129" f="1"/>
        <s v="Formula130" f="1"/>
        <s v="Formula131" f="1"/>
        <s v="Formula132" f="1"/>
        <s v="Formula133" f="1"/>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ount="1">
        <n v="500"/>
      </sharedItems>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calculatedItems count="133">
    <calculatedItem>
      <pivotArea cacheIndex="1" outline="0" fieldPosition="0">
        <references count="1">
          <reference field="1" count="1">
            <x v="141"/>
          </reference>
        </references>
      </pivotArea>
    </calculatedItem>
    <calculatedItem>
      <pivotArea cacheIndex="1" outline="0" fieldPosition="0">
        <references count="1">
          <reference field="1" count="1">
            <x v="142"/>
          </reference>
        </references>
      </pivotArea>
    </calculatedItem>
    <calculatedItem>
      <pivotArea cacheIndex="1" outline="0" fieldPosition="0">
        <references count="1">
          <reference field="1" count="1">
            <x v="143"/>
          </reference>
        </references>
      </pivotArea>
    </calculatedItem>
    <calculatedItem>
      <pivotArea cacheIndex="1" outline="0" fieldPosition="0">
        <references count="1">
          <reference field="1" count="1">
            <x v="144"/>
          </reference>
        </references>
      </pivotArea>
    </calculatedItem>
    <calculatedItem>
      <pivotArea cacheIndex="1" outline="0" fieldPosition="0">
        <references count="1">
          <reference field="1" count="1">
            <x v="145"/>
          </reference>
        </references>
      </pivotArea>
    </calculatedItem>
    <calculatedItem>
      <pivotArea cacheIndex="1" outline="0" fieldPosition="0">
        <references count="1">
          <reference field="1" count="1">
            <x v="146"/>
          </reference>
        </references>
      </pivotArea>
    </calculatedItem>
    <calculatedItem>
      <pivotArea cacheIndex="1" outline="0" fieldPosition="0">
        <references count="1">
          <reference field="1" count="1">
            <x v="147"/>
          </reference>
        </references>
      </pivotArea>
    </calculatedItem>
    <calculatedItem>
      <pivotArea cacheIndex="1" outline="0" fieldPosition="0">
        <references count="1">
          <reference field="1" count="1">
            <x v="148"/>
          </reference>
        </references>
      </pivotArea>
    </calculatedItem>
    <calculatedItem>
      <pivotArea cacheIndex="1" outline="0" fieldPosition="0">
        <references count="1">
          <reference field="1" count="1">
            <x v="149"/>
          </reference>
        </references>
      </pivotArea>
    </calculatedItem>
    <calculatedItem>
      <pivotArea cacheIndex="1" outline="0" fieldPosition="0">
        <references count="1">
          <reference field="1" count="1">
            <x v="150"/>
          </reference>
        </references>
      </pivotArea>
    </calculatedItem>
    <calculatedItem>
      <pivotArea cacheIndex="1" outline="0" fieldPosition="0">
        <references count="1">
          <reference field="1" count="1">
            <x v="151"/>
          </reference>
        </references>
      </pivotArea>
    </calculatedItem>
    <calculatedItem>
      <pivotArea cacheIndex="1" outline="0" fieldPosition="0">
        <references count="1">
          <reference field="1" count="1">
            <x v="152"/>
          </reference>
        </references>
      </pivotArea>
    </calculatedItem>
    <calculatedItem>
      <pivotArea cacheIndex="1" outline="0" fieldPosition="0">
        <references count="1">
          <reference field="1" count="1">
            <x v="153"/>
          </reference>
        </references>
      </pivotArea>
    </calculatedItem>
    <calculatedItem>
      <pivotArea cacheIndex="1" outline="0" fieldPosition="0">
        <references count="1">
          <reference field="1" count="1">
            <x v="154"/>
          </reference>
        </references>
      </pivotArea>
    </calculatedItem>
    <calculatedItem>
      <pivotArea cacheIndex="1" outline="0" fieldPosition="0">
        <references count="1">
          <reference field="1" count="1">
            <x v="155"/>
          </reference>
        </references>
      </pivotArea>
    </calculatedItem>
    <calculatedItem>
      <pivotArea cacheIndex="1" outline="0" fieldPosition="0">
        <references count="1">
          <reference field="1" count="1">
            <x v="156"/>
          </reference>
        </references>
      </pivotArea>
    </calculatedItem>
    <calculatedItem>
      <pivotArea cacheIndex="1" outline="0" fieldPosition="0">
        <references count="1">
          <reference field="1" count="1">
            <x v="157"/>
          </reference>
        </references>
      </pivotArea>
    </calculatedItem>
    <calculatedItem>
      <pivotArea cacheIndex="1" outline="0" fieldPosition="0">
        <references count="1">
          <reference field="1" count="1">
            <x v="158"/>
          </reference>
        </references>
      </pivotArea>
    </calculatedItem>
    <calculatedItem>
      <pivotArea cacheIndex="1" outline="0" fieldPosition="0">
        <references count="1">
          <reference field="1" count="1">
            <x v="159"/>
          </reference>
        </references>
      </pivotArea>
    </calculatedItem>
    <calculatedItem>
      <pivotArea cacheIndex="1" outline="0" fieldPosition="0">
        <references count="1">
          <reference field="1" count="1">
            <x v="160"/>
          </reference>
        </references>
      </pivotArea>
    </calculatedItem>
    <calculatedItem>
      <pivotArea cacheIndex="1" outline="0" fieldPosition="0">
        <references count="1">
          <reference field="1" count="1">
            <x v="161"/>
          </reference>
        </references>
      </pivotArea>
    </calculatedItem>
    <calculatedItem>
      <pivotArea cacheIndex="1" outline="0" fieldPosition="0">
        <references count="1">
          <reference field="1" count="1">
            <x v="162"/>
          </reference>
        </references>
      </pivotArea>
    </calculatedItem>
    <calculatedItem>
      <pivotArea cacheIndex="1" outline="0" fieldPosition="0">
        <references count="1">
          <reference field="1" count="1">
            <x v="163"/>
          </reference>
        </references>
      </pivotArea>
    </calculatedItem>
    <calculatedItem>
      <pivotArea cacheIndex="1" outline="0" fieldPosition="0">
        <references count="1">
          <reference field="1" count="1">
            <x v="164"/>
          </reference>
        </references>
      </pivotArea>
    </calculatedItem>
    <calculatedItem>
      <pivotArea cacheIndex="1" outline="0" fieldPosition="0">
        <references count="1">
          <reference field="1" count="1">
            <x v="165"/>
          </reference>
        </references>
      </pivotArea>
    </calculatedItem>
    <calculatedItem>
      <pivotArea cacheIndex="1" outline="0" fieldPosition="0">
        <references count="1">
          <reference field="1" count="1">
            <x v="166"/>
          </reference>
        </references>
      </pivotArea>
    </calculatedItem>
    <calculatedItem>
      <pivotArea cacheIndex="1" outline="0" fieldPosition="0">
        <references count="1">
          <reference field="1" count="1">
            <x v="167"/>
          </reference>
        </references>
      </pivotArea>
    </calculatedItem>
    <calculatedItem>
      <pivotArea cacheIndex="1" outline="0" fieldPosition="0">
        <references count="1">
          <reference field="1" count="1">
            <x v="168"/>
          </reference>
        </references>
      </pivotArea>
    </calculatedItem>
    <calculatedItem>
      <pivotArea cacheIndex="1" outline="0" fieldPosition="0">
        <references count="1">
          <reference field="1" count="1">
            <x v="169"/>
          </reference>
        </references>
      </pivotArea>
    </calculatedItem>
    <calculatedItem>
      <pivotArea cacheIndex="1" outline="0" fieldPosition="0">
        <references count="1">
          <reference field="1" count="1">
            <x v="170"/>
          </reference>
        </references>
      </pivotArea>
    </calculatedItem>
    <calculatedItem>
      <pivotArea cacheIndex="1" outline="0" fieldPosition="0">
        <references count="1">
          <reference field="1" count="1">
            <x v="171"/>
          </reference>
        </references>
      </pivotArea>
    </calculatedItem>
    <calculatedItem>
      <pivotArea cacheIndex="1" outline="0" fieldPosition="0">
        <references count="1">
          <reference field="1" count="1">
            <x v="172"/>
          </reference>
        </references>
      </pivotArea>
    </calculatedItem>
    <calculatedItem>
      <pivotArea cacheIndex="1" outline="0" fieldPosition="0">
        <references count="1">
          <reference field="1" count="1">
            <x v="173"/>
          </reference>
        </references>
      </pivotArea>
    </calculatedItem>
    <calculatedItem>
      <pivotArea cacheIndex="1" outline="0" fieldPosition="0">
        <references count="1">
          <reference field="1" count="1">
            <x v="174"/>
          </reference>
        </references>
      </pivotArea>
    </calculatedItem>
    <calculatedItem>
      <pivotArea cacheIndex="1" outline="0" fieldPosition="0">
        <references count="1">
          <reference field="1" count="1">
            <x v="175"/>
          </reference>
        </references>
      </pivotArea>
    </calculatedItem>
    <calculatedItem>
      <pivotArea cacheIndex="1" outline="0" fieldPosition="0">
        <references count="1">
          <reference field="1" count="1">
            <x v="176"/>
          </reference>
        </references>
      </pivotArea>
    </calculatedItem>
    <calculatedItem>
      <pivotArea cacheIndex="1" outline="0" fieldPosition="0">
        <references count="1">
          <reference field="1" count="1">
            <x v="177"/>
          </reference>
        </references>
      </pivotArea>
    </calculatedItem>
    <calculatedItem>
      <pivotArea cacheIndex="1" outline="0" fieldPosition="0">
        <references count="1">
          <reference field="1" count="1">
            <x v="178"/>
          </reference>
        </references>
      </pivotArea>
    </calculatedItem>
    <calculatedItem>
      <pivotArea cacheIndex="1" outline="0" fieldPosition="0">
        <references count="1">
          <reference field="1" count="1">
            <x v="179"/>
          </reference>
        </references>
      </pivotArea>
    </calculatedItem>
    <calculatedItem>
      <pivotArea cacheIndex="1" outline="0" fieldPosition="0">
        <references count="1">
          <reference field="1" count="1">
            <x v="180"/>
          </reference>
        </references>
      </pivotArea>
    </calculatedItem>
    <calculatedItem>
      <pivotArea cacheIndex="1" outline="0" fieldPosition="0">
        <references count="1">
          <reference field="1" count="1">
            <x v="181"/>
          </reference>
        </references>
      </pivotArea>
    </calculatedItem>
    <calculatedItem>
      <pivotArea cacheIndex="1" outline="0" fieldPosition="0">
        <references count="1">
          <reference field="1" count="1">
            <x v="182"/>
          </reference>
        </references>
      </pivotArea>
    </calculatedItem>
    <calculatedItem>
      <pivotArea cacheIndex="1" outline="0" fieldPosition="0">
        <references count="1">
          <reference field="1" count="1">
            <x v="183"/>
          </reference>
        </references>
      </pivotArea>
    </calculatedItem>
    <calculatedItem>
      <pivotArea cacheIndex="1" outline="0" fieldPosition="0">
        <references count="1">
          <reference field="1" count="1">
            <x v="184"/>
          </reference>
        </references>
      </pivotArea>
    </calculatedItem>
    <calculatedItem>
      <pivotArea cacheIndex="1" outline="0" fieldPosition="0">
        <references count="1">
          <reference field="1" count="1">
            <x v="185"/>
          </reference>
        </references>
      </pivotArea>
    </calculatedItem>
    <calculatedItem>
      <pivotArea cacheIndex="1" outline="0" fieldPosition="0">
        <references count="1">
          <reference field="1" count="1">
            <x v="186"/>
          </reference>
        </references>
      </pivotArea>
    </calculatedItem>
    <calculatedItem>
      <pivotArea cacheIndex="1" outline="0" fieldPosition="0">
        <references count="1">
          <reference field="1" count="1">
            <x v="187"/>
          </reference>
        </references>
      </pivotArea>
    </calculatedItem>
    <calculatedItem>
      <pivotArea cacheIndex="1" outline="0" fieldPosition="0">
        <references count="1">
          <reference field="1" count="1">
            <x v="188"/>
          </reference>
        </references>
      </pivotArea>
    </calculatedItem>
    <calculatedItem>
      <pivotArea cacheIndex="1" outline="0" fieldPosition="0">
        <references count="1">
          <reference field="1" count="1">
            <x v="189"/>
          </reference>
        </references>
      </pivotArea>
    </calculatedItem>
    <calculatedItem>
      <pivotArea cacheIndex="1" outline="0" fieldPosition="0">
        <references count="1">
          <reference field="1" count="1">
            <x v="190"/>
          </reference>
        </references>
      </pivotArea>
    </calculatedItem>
    <calculatedItem>
      <pivotArea cacheIndex="1" outline="0" fieldPosition="0">
        <references count="1">
          <reference field="1" count="1">
            <x v="191"/>
          </reference>
        </references>
      </pivotArea>
    </calculatedItem>
    <calculatedItem>
      <pivotArea cacheIndex="1" outline="0" fieldPosition="0">
        <references count="1">
          <reference field="1" count="1">
            <x v="192"/>
          </reference>
        </references>
      </pivotArea>
    </calculatedItem>
    <calculatedItem>
      <pivotArea cacheIndex="1" outline="0" fieldPosition="0">
        <references count="1">
          <reference field="1" count="1">
            <x v="193"/>
          </reference>
        </references>
      </pivotArea>
    </calculatedItem>
    <calculatedItem>
      <pivotArea cacheIndex="1" outline="0" fieldPosition="0">
        <references count="1">
          <reference field="1" count="1">
            <x v="194"/>
          </reference>
        </references>
      </pivotArea>
    </calculatedItem>
    <calculatedItem>
      <pivotArea cacheIndex="1" outline="0" fieldPosition="0">
        <references count="1">
          <reference field="1" count="1">
            <x v="195"/>
          </reference>
        </references>
      </pivotArea>
    </calculatedItem>
    <calculatedItem>
      <pivotArea cacheIndex="1" outline="0" fieldPosition="0">
        <references count="1">
          <reference field="1" count="1">
            <x v="196"/>
          </reference>
        </references>
      </pivotArea>
    </calculatedItem>
    <calculatedItem>
      <pivotArea cacheIndex="1" outline="0" fieldPosition="0">
        <references count="1">
          <reference field="1" count="1">
            <x v="197"/>
          </reference>
        </references>
      </pivotArea>
    </calculatedItem>
    <calculatedItem>
      <pivotArea cacheIndex="1" outline="0" fieldPosition="0">
        <references count="1">
          <reference field="1" count="1">
            <x v="198"/>
          </reference>
        </references>
      </pivotArea>
    </calculatedItem>
    <calculatedItem>
      <pivotArea cacheIndex="1" outline="0" fieldPosition="0">
        <references count="1">
          <reference field="1" count="1">
            <x v="199"/>
          </reference>
        </references>
      </pivotArea>
    </calculatedItem>
    <calculatedItem>
      <pivotArea cacheIndex="1" outline="0" fieldPosition="0">
        <references count="1">
          <reference field="1" count="1">
            <x v="200"/>
          </reference>
        </references>
      </pivotArea>
    </calculatedItem>
    <calculatedItem>
      <pivotArea cacheIndex="1" outline="0" fieldPosition="0">
        <references count="1">
          <reference field="1" count="1">
            <x v="201"/>
          </reference>
        </references>
      </pivotArea>
    </calculatedItem>
    <calculatedItem>
      <pivotArea cacheIndex="1" outline="0" fieldPosition="0">
        <references count="1">
          <reference field="1" count="1">
            <x v="202"/>
          </reference>
        </references>
      </pivotArea>
    </calculatedItem>
    <calculatedItem>
      <pivotArea cacheIndex="1" outline="0" fieldPosition="0">
        <references count="1">
          <reference field="1" count="1">
            <x v="203"/>
          </reference>
        </references>
      </pivotArea>
    </calculatedItem>
    <calculatedItem>
      <pivotArea cacheIndex="1" outline="0" fieldPosition="0">
        <references count="1">
          <reference field="1" count="1">
            <x v="204"/>
          </reference>
        </references>
      </pivotArea>
    </calculatedItem>
    <calculatedItem>
      <pivotArea cacheIndex="1" outline="0" fieldPosition="0">
        <references count="1">
          <reference field="1" count="1">
            <x v="205"/>
          </reference>
        </references>
      </pivotArea>
    </calculatedItem>
    <calculatedItem>
      <pivotArea cacheIndex="1" outline="0" fieldPosition="0">
        <references count="1">
          <reference field="1" count="1">
            <x v="206"/>
          </reference>
        </references>
      </pivotArea>
    </calculatedItem>
    <calculatedItem>
      <pivotArea cacheIndex="1" outline="0" fieldPosition="0">
        <references count="1">
          <reference field="1" count="1">
            <x v="207"/>
          </reference>
        </references>
      </pivotArea>
    </calculatedItem>
    <calculatedItem>
      <pivotArea cacheIndex="1" outline="0" fieldPosition="0">
        <references count="1">
          <reference field="1" count="1">
            <x v="208"/>
          </reference>
        </references>
      </pivotArea>
    </calculatedItem>
    <calculatedItem>
      <pivotArea cacheIndex="1" outline="0" fieldPosition="0">
        <references count="1">
          <reference field="1" count="1">
            <x v="209"/>
          </reference>
        </references>
      </pivotArea>
    </calculatedItem>
    <calculatedItem>
      <pivotArea cacheIndex="1" outline="0" fieldPosition="0">
        <references count="1">
          <reference field="1" count="1">
            <x v="210"/>
          </reference>
        </references>
      </pivotArea>
    </calculatedItem>
    <calculatedItem>
      <pivotArea cacheIndex="1" outline="0" fieldPosition="0">
        <references count="1">
          <reference field="1" count="1">
            <x v="211"/>
          </reference>
        </references>
      </pivotArea>
    </calculatedItem>
    <calculatedItem>
      <pivotArea cacheIndex="1" outline="0" fieldPosition="0">
        <references count="1">
          <reference field="1" count="1">
            <x v="212"/>
          </reference>
        </references>
      </pivotArea>
    </calculatedItem>
    <calculatedItem>
      <pivotArea cacheIndex="1" outline="0" fieldPosition="0">
        <references count="1">
          <reference field="1" count="1">
            <x v="213"/>
          </reference>
        </references>
      </pivotArea>
    </calculatedItem>
    <calculatedItem>
      <pivotArea cacheIndex="1" outline="0" fieldPosition="0">
        <references count="1">
          <reference field="1" count="1">
            <x v="214"/>
          </reference>
        </references>
      </pivotArea>
    </calculatedItem>
    <calculatedItem>
      <pivotArea cacheIndex="1" outline="0" fieldPosition="0">
        <references count="1">
          <reference field="1" count="1">
            <x v="215"/>
          </reference>
        </references>
      </pivotArea>
    </calculatedItem>
    <calculatedItem>
      <pivotArea cacheIndex="1" outline="0" fieldPosition="0">
        <references count="1">
          <reference field="1" count="1">
            <x v="216"/>
          </reference>
        </references>
      </pivotArea>
    </calculatedItem>
    <calculatedItem>
      <pivotArea cacheIndex="1" outline="0" fieldPosition="0">
        <references count="1">
          <reference field="1" count="1">
            <x v="217"/>
          </reference>
        </references>
      </pivotArea>
    </calculatedItem>
    <calculatedItem>
      <pivotArea cacheIndex="1" outline="0" fieldPosition="0">
        <references count="1">
          <reference field="1" count="1">
            <x v="218"/>
          </reference>
        </references>
      </pivotArea>
    </calculatedItem>
    <calculatedItem>
      <pivotArea cacheIndex="1" outline="0" fieldPosition="0">
        <references count="1">
          <reference field="1" count="1">
            <x v="219"/>
          </reference>
        </references>
      </pivotArea>
    </calculatedItem>
    <calculatedItem>
      <pivotArea cacheIndex="1" outline="0" fieldPosition="0">
        <references count="1">
          <reference field="1" count="1">
            <x v="220"/>
          </reference>
        </references>
      </pivotArea>
    </calculatedItem>
    <calculatedItem>
      <pivotArea cacheIndex="1" outline="0" fieldPosition="0">
        <references count="1">
          <reference field="1" count="1">
            <x v="221"/>
          </reference>
        </references>
      </pivotArea>
    </calculatedItem>
    <calculatedItem>
      <pivotArea cacheIndex="1" outline="0" fieldPosition="0">
        <references count="1">
          <reference field="1" count="1">
            <x v="222"/>
          </reference>
        </references>
      </pivotArea>
    </calculatedItem>
    <calculatedItem>
      <pivotArea cacheIndex="1" outline="0" fieldPosition="0">
        <references count="1">
          <reference field="1" count="1">
            <x v="223"/>
          </reference>
        </references>
      </pivotArea>
    </calculatedItem>
    <calculatedItem>
      <pivotArea cacheIndex="1" outline="0" fieldPosition="0">
        <references count="1">
          <reference field="1" count="1">
            <x v="224"/>
          </reference>
        </references>
      </pivotArea>
    </calculatedItem>
    <calculatedItem>
      <pivotArea cacheIndex="1" outline="0" fieldPosition="0">
        <references count="1">
          <reference field="1" count="1">
            <x v="225"/>
          </reference>
        </references>
      </pivotArea>
    </calculatedItem>
    <calculatedItem>
      <pivotArea cacheIndex="1" outline="0" fieldPosition="0">
        <references count="1">
          <reference field="1" count="1">
            <x v="226"/>
          </reference>
        </references>
      </pivotArea>
    </calculatedItem>
    <calculatedItem>
      <pivotArea cacheIndex="1" outline="0" fieldPosition="0">
        <references count="1">
          <reference field="1" count="1">
            <x v="227"/>
          </reference>
        </references>
      </pivotArea>
    </calculatedItem>
    <calculatedItem>
      <pivotArea cacheIndex="1" outline="0" fieldPosition="0">
        <references count="1">
          <reference field="1" count="1">
            <x v="228"/>
          </reference>
        </references>
      </pivotArea>
    </calculatedItem>
    <calculatedItem>
      <pivotArea cacheIndex="1" outline="0" fieldPosition="0">
        <references count="1">
          <reference field="1" count="1">
            <x v="229"/>
          </reference>
        </references>
      </pivotArea>
    </calculatedItem>
    <calculatedItem>
      <pivotArea cacheIndex="1" outline="0" fieldPosition="0">
        <references count="1">
          <reference field="1" count="1">
            <x v="230"/>
          </reference>
        </references>
      </pivotArea>
    </calculatedItem>
    <calculatedItem>
      <pivotArea cacheIndex="1" outline="0" fieldPosition="0">
        <references count="1">
          <reference field="1" count="1">
            <x v="231"/>
          </reference>
        </references>
      </pivotArea>
    </calculatedItem>
    <calculatedItem>
      <pivotArea cacheIndex="1" outline="0" fieldPosition="0">
        <references count="1">
          <reference field="1" count="1">
            <x v="232"/>
          </reference>
        </references>
      </pivotArea>
    </calculatedItem>
    <calculatedItem>
      <pivotArea cacheIndex="1" outline="0" fieldPosition="0">
        <references count="1">
          <reference field="1" count="1">
            <x v="233"/>
          </reference>
        </references>
      </pivotArea>
    </calculatedItem>
    <calculatedItem>
      <pivotArea cacheIndex="1" outline="0" fieldPosition="0">
        <references count="1">
          <reference field="1" count="1">
            <x v="234"/>
          </reference>
        </references>
      </pivotArea>
    </calculatedItem>
    <calculatedItem>
      <pivotArea cacheIndex="1" outline="0" fieldPosition="0">
        <references count="1">
          <reference field="1" count="1">
            <x v="235"/>
          </reference>
        </references>
      </pivotArea>
    </calculatedItem>
    <calculatedItem>
      <pivotArea cacheIndex="1" outline="0" fieldPosition="0">
        <references count="1">
          <reference field="1" count="1">
            <x v="236"/>
          </reference>
        </references>
      </pivotArea>
    </calculatedItem>
    <calculatedItem>
      <pivotArea cacheIndex="1" outline="0" fieldPosition="0">
        <references count="1">
          <reference field="1" count="1">
            <x v="237"/>
          </reference>
        </references>
      </pivotArea>
    </calculatedItem>
    <calculatedItem>
      <pivotArea cacheIndex="1" outline="0" fieldPosition="0">
        <references count="1">
          <reference field="1" count="1">
            <x v="238"/>
          </reference>
        </references>
      </pivotArea>
    </calculatedItem>
    <calculatedItem>
      <pivotArea cacheIndex="1" outline="0" fieldPosition="0">
        <references count="1">
          <reference field="1" count="1">
            <x v="239"/>
          </reference>
        </references>
      </pivotArea>
    </calculatedItem>
    <calculatedItem>
      <pivotArea cacheIndex="1" outline="0" fieldPosition="0">
        <references count="1">
          <reference field="1" count="1">
            <x v="240"/>
          </reference>
        </references>
      </pivotArea>
    </calculatedItem>
    <calculatedItem>
      <pivotArea cacheIndex="1" outline="0" fieldPosition="0">
        <references count="1">
          <reference field="1" count="1">
            <x v="241"/>
          </reference>
        </references>
      </pivotArea>
    </calculatedItem>
    <calculatedItem>
      <pivotArea cacheIndex="1" outline="0" fieldPosition="0">
        <references count="1">
          <reference field="1" count="1">
            <x v="242"/>
          </reference>
        </references>
      </pivotArea>
    </calculatedItem>
    <calculatedItem>
      <pivotArea cacheIndex="1" outline="0" fieldPosition="0">
        <references count="1">
          <reference field="1" count="1">
            <x v="243"/>
          </reference>
        </references>
      </pivotArea>
    </calculatedItem>
    <calculatedItem>
      <pivotArea cacheIndex="1" outline="0" fieldPosition="0">
        <references count="1">
          <reference field="1" count="1">
            <x v="244"/>
          </reference>
        </references>
      </pivotArea>
    </calculatedItem>
    <calculatedItem>
      <pivotArea cacheIndex="1" outline="0" fieldPosition="0">
        <references count="1">
          <reference field="1" count="1">
            <x v="245"/>
          </reference>
        </references>
      </pivotArea>
    </calculatedItem>
    <calculatedItem>
      <pivotArea cacheIndex="1" outline="0" fieldPosition="0">
        <references count="1">
          <reference field="1" count="1">
            <x v="246"/>
          </reference>
        </references>
      </pivotArea>
    </calculatedItem>
    <calculatedItem>
      <pivotArea cacheIndex="1" outline="0" fieldPosition="0">
        <references count="1">
          <reference field="1" count="1">
            <x v="247"/>
          </reference>
        </references>
      </pivotArea>
    </calculatedItem>
    <calculatedItem>
      <pivotArea cacheIndex="1" outline="0" fieldPosition="0">
        <references count="1">
          <reference field="1" count="1">
            <x v="248"/>
          </reference>
        </references>
      </pivotArea>
    </calculatedItem>
    <calculatedItem>
      <pivotArea cacheIndex="1" outline="0" fieldPosition="0">
        <references count="1">
          <reference field="1" count="1">
            <x v="249"/>
          </reference>
        </references>
      </pivotArea>
    </calculatedItem>
    <calculatedItem>
      <pivotArea cacheIndex="1" outline="0" fieldPosition="0">
        <references count="1">
          <reference field="1" count="1">
            <x v="250"/>
          </reference>
        </references>
      </pivotArea>
    </calculatedItem>
    <calculatedItem>
      <pivotArea cacheIndex="1" outline="0" fieldPosition="0">
        <references count="1">
          <reference field="1" count="1">
            <x v="251"/>
          </reference>
        </references>
      </pivotArea>
    </calculatedItem>
    <calculatedItem>
      <pivotArea cacheIndex="1" outline="0" fieldPosition="0">
        <references count="1">
          <reference field="1" count="1">
            <x v="252"/>
          </reference>
        </references>
      </pivotArea>
    </calculatedItem>
    <calculatedItem>
      <pivotArea cacheIndex="1" outline="0" fieldPosition="0">
        <references count="1">
          <reference field="1" count="1">
            <x v="253"/>
          </reference>
        </references>
      </pivotArea>
    </calculatedItem>
    <calculatedItem>
      <pivotArea cacheIndex="1" outline="0" fieldPosition="0">
        <references count="1">
          <reference field="1" count="1">
            <x v="254"/>
          </reference>
        </references>
      </pivotArea>
    </calculatedItem>
    <calculatedItem>
      <pivotArea cacheIndex="1" outline="0" fieldPosition="0">
        <references count="1">
          <reference field="1" count="1">
            <x v="255"/>
          </reference>
        </references>
      </pivotArea>
    </calculatedItem>
    <calculatedItem>
      <pivotArea cacheIndex="1" outline="0" fieldPosition="0">
        <references count="1">
          <reference field="1" count="1">
            <x v="256"/>
          </reference>
        </references>
      </pivotArea>
    </calculatedItem>
    <calculatedItem>
      <pivotArea cacheIndex="1" outline="0" fieldPosition="0">
        <references count="1">
          <reference field="1" count="1">
            <x v="257"/>
          </reference>
        </references>
      </pivotArea>
    </calculatedItem>
    <calculatedItem>
      <pivotArea cacheIndex="1" outline="0" fieldPosition="0">
        <references count="1">
          <reference field="1" count="1">
            <x v="258"/>
          </reference>
        </references>
      </pivotArea>
    </calculatedItem>
    <calculatedItem>
      <pivotArea cacheIndex="1" outline="0" fieldPosition="0">
        <references count="1">
          <reference field="1" count="1">
            <x v="259"/>
          </reference>
        </references>
      </pivotArea>
    </calculatedItem>
    <calculatedItem>
      <pivotArea cacheIndex="1" outline="0" fieldPosition="0">
        <references count="1">
          <reference field="1" count="1">
            <x v="260"/>
          </reference>
        </references>
      </pivotArea>
    </calculatedItem>
    <calculatedItem>
      <pivotArea cacheIndex="1" outline="0" fieldPosition="0">
        <references count="1">
          <reference field="1" count="1">
            <x v="261"/>
          </reference>
        </references>
      </pivotArea>
    </calculatedItem>
    <calculatedItem>
      <pivotArea cacheIndex="1" outline="0" fieldPosition="0">
        <references count="1">
          <reference field="1" count="1">
            <x v="262"/>
          </reference>
        </references>
      </pivotArea>
    </calculatedItem>
    <calculatedItem>
      <pivotArea cacheIndex="1" outline="0" fieldPosition="0">
        <references count="1">
          <reference field="1" count="1">
            <x v="263"/>
          </reference>
        </references>
      </pivotArea>
    </calculatedItem>
    <calculatedItem>
      <pivotArea cacheIndex="1" outline="0" fieldPosition="0">
        <references count="1">
          <reference field="1" count="1">
            <x v="264"/>
          </reference>
        </references>
      </pivotArea>
    </calculatedItem>
    <calculatedItem>
      <pivotArea cacheIndex="1" outline="0" fieldPosition="0">
        <references count="1">
          <reference field="1" count="1">
            <x v="265"/>
          </reference>
        </references>
      </pivotArea>
    </calculatedItem>
    <calculatedItem>
      <pivotArea cacheIndex="1" outline="0" fieldPosition="0">
        <references count="1">
          <reference field="1" count="1">
            <x v="266"/>
          </reference>
        </references>
      </pivotArea>
    </calculatedItem>
    <calculatedItem>
      <pivotArea cacheIndex="1" outline="0" fieldPosition="0">
        <references count="1">
          <reference field="1" count="1">
            <x v="267"/>
          </reference>
        </references>
      </pivotArea>
    </calculatedItem>
    <calculatedItem>
      <pivotArea cacheIndex="1" outline="0" fieldPosition="0">
        <references count="1">
          <reference field="1" count="1">
            <x v="268"/>
          </reference>
        </references>
      </pivotArea>
    </calculatedItem>
    <calculatedItem>
      <pivotArea cacheIndex="1" outline="0" fieldPosition="0">
        <references count="1">
          <reference field="1" count="1">
            <x v="269"/>
          </reference>
        </references>
      </pivotArea>
    </calculatedItem>
    <calculatedItem>
      <pivotArea cacheIndex="1" outline="0" fieldPosition="0">
        <references count="1">
          <reference field="1" count="1">
            <x v="270"/>
          </reference>
        </references>
      </pivotArea>
    </calculatedItem>
    <calculatedItem>
      <pivotArea cacheIndex="1" outline="0" fieldPosition="0">
        <references count="1">
          <reference field="1" count="1">
            <x v="271"/>
          </reference>
        </references>
      </pivotArea>
    </calculatedItem>
    <calculatedItem>
      <pivotArea cacheIndex="1" outline="0" fieldPosition="0">
        <references count="1">
          <reference field="1" count="1">
            <x v="272"/>
          </reference>
        </references>
      </pivotArea>
    </calculatedItem>
    <calculatedItem>
      <pivotArea cacheIndex="1" outline="0" fieldPosition="0">
        <references count="1">
          <reference field="1" count="1">
            <x v="273"/>
          </reference>
        </references>
      </pivotArea>
    </calculatedItem>
  </calculatedItems>
  <extLst>
    <ext xmlns:x14="http://schemas.microsoft.com/office/spreadsheetml/2009/9/main" uri="{725AE2AE-9491-48be-B2B4-4EB974FC3084}">
      <x14:pivotCacheDefinition pivotCacheId="68988574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x v="0"/>
    <x v="0"/>
    <n v="0.67800000000000005"/>
    <n v="0.32199999999999995"/>
  </r>
  <r>
    <s v="Mum-TCL002"/>
    <x v="1"/>
    <x v="1"/>
    <n v="44"/>
    <n v="85"/>
    <n v="47"/>
    <n v="15"/>
    <n v="48"/>
    <x v="1"/>
    <x v="0"/>
    <n v="0.47799999999999998"/>
    <n v="0.52200000000000002"/>
  </r>
  <r>
    <s v="Mum-TCL003"/>
    <x v="2"/>
    <x v="2"/>
    <n v="45"/>
    <n v="79"/>
    <n v="88"/>
    <n v="73"/>
    <n v="94"/>
    <x v="2"/>
    <x v="0"/>
    <n v="0.75800000000000001"/>
    <n v="0.24199999999999999"/>
  </r>
  <r>
    <s v="Mum-TCL004"/>
    <x v="3"/>
    <x v="3"/>
    <n v="52"/>
    <n v="99"/>
    <n v="13"/>
    <n v="95"/>
    <n v="29"/>
    <x v="3"/>
    <x v="0"/>
    <n v="0.57599999999999996"/>
    <n v="0.42400000000000004"/>
  </r>
  <r>
    <s v="Mum-TCL005"/>
    <x v="4"/>
    <x v="4"/>
    <n v="35"/>
    <n v="54"/>
    <n v="49"/>
    <n v="26"/>
    <n v="49"/>
    <x v="4"/>
    <x v="0"/>
    <n v="0.42599999999999999"/>
    <n v="0.57400000000000007"/>
  </r>
  <r>
    <s v="Mum-TCL006"/>
    <x v="5"/>
    <x v="5"/>
    <n v="86"/>
    <n v="31"/>
    <n v="23"/>
    <n v="48"/>
    <n v="77"/>
    <x v="5"/>
    <x v="0"/>
    <n v="0.53"/>
    <n v="0.47"/>
  </r>
  <r>
    <s v="Mum-TCL007"/>
    <x v="6"/>
    <x v="6"/>
    <n v="84"/>
    <n v="28"/>
    <n v="98"/>
    <n v="80"/>
    <n v="79"/>
    <x v="6"/>
    <x v="0"/>
    <n v="0.73799999999999999"/>
    <n v="0.26200000000000001"/>
  </r>
  <r>
    <s v="Mum-TCL008"/>
    <x v="7"/>
    <x v="7"/>
    <n v="73"/>
    <n v="97"/>
    <n v="38"/>
    <n v="24"/>
    <n v="53"/>
    <x v="7"/>
    <x v="0"/>
    <n v="0.56999999999999995"/>
    <n v="0.43000000000000005"/>
  </r>
  <r>
    <s v="Mum-TCL009"/>
    <x v="8"/>
    <x v="0"/>
    <n v="54"/>
    <n v="26"/>
    <n v="53"/>
    <n v="36"/>
    <n v="20"/>
    <x v="8"/>
    <x v="0"/>
    <n v="0.378"/>
    <n v="0.622"/>
  </r>
  <r>
    <s v="Mum-TCL010"/>
    <x v="9"/>
    <x v="1"/>
    <n v="52"/>
    <n v="52"/>
    <n v="19"/>
    <n v="53"/>
    <n v="37"/>
    <x v="4"/>
    <x v="0"/>
    <n v="0.42599999999999999"/>
    <n v="0.57400000000000007"/>
  </r>
  <r>
    <s v="Mum-TCL011"/>
    <x v="10"/>
    <x v="2"/>
    <n v="63"/>
    <n v="17"/>
    <n v="40"/>
    <n v="48"/>
    <n v="51"/>
    <x v="9"/>
    <x v="0"/>
    <n v="0.438"/>
    <n v="0.56200000000000006"/>
  </r>
  <r>
    <s v="Mum-TCL012"/>
    <x v="11"/>
    <x v="3"/>
    <n v="79"/>
    <n v="99"/>
    <n v="95"/>
    <n v="12"/>
    <n v="91"/>
    <x v="10"/>
    <x v="0"/>
    <n v="0.752"/>
    <n v="0.248"/>
  </r>
  <r>
    <s v="Mum-TCL013"/>
    <x v="12"/>
    <x v="4"/>
    <n v="95"/>
    <n v="88"/>
    <n v="11"/>
    <n v="78"/>
    <n v="60"/>
    <x v="11"/>
    <x v="0"/>
    <n v="0.66400000000000003"/>
    <n v="0.33599999999999997"/>
  </r>
  <r>
    <s v="Mum-TCL014"/>
    <x v="13"/>
    <x v="5"/>
    <n v="83"/>
    <n v="77"/>
    <n v="66"/>
    <n v="22"/>
    <n v="40"/>
    <x v="3"/>
    <x v="0"/>
    <n v="0.57599999999999996"/>
    <n v="0.42400000000000004"/>
  </r>
  <r>
    <s v="Mum-TCL015"/>
    <x v="14"/>
    <x v="6"/>
    <n v="78"/>
    <n v="58"/>
    <n v="34"/>
    <n v="84"/>
    <n v="31"/>
    <x v="7"/>
    <x v="0"/>
    <n v="0.56999999999999995"/>
    <n v="0.43000000000000005"/>
  </r>
  <r>
    <s v="Mum-TCL016"/>
    <x v="15"/>
    <x v="7"/>
    <n v="14"/>
    <n v="25"/>
    <n v="45"/>
    <n v="70"/>
    <n v="45"/>
    <x v="12"/>
    <x v="0"/>
    <n v="0.39800000000000002"/>
    <n v="0.60199999999999998"/>
  </r>
  <r>
    <s v="Mum-TCL017"/>
    <x v="16"/>
    <x v="0"/>
    <n v="37"/>
    <n v="69"/>
    <n v="96"/>
    <n v="66"/>
    <n v="38"/>
    <x v="13"/>
    <x v="0"/>
    <n v="0.61199999999999999"/>
    <n v="0.38800000000000001"/>
  </r>
  <r>
    <s v="Mum-TCL018"/>
    <x v="17"/>
    <x v="1"/>
    <n v="11"/>
    <n v="46"/>
    <n v="91"/>
    <n v="98"/>
    <n v="45"/>
    <x v="14"/>
    <x v="0"/>
    <n v="0.58199999999999996"/>
    <n v="0.41800000000000004"/>
  </r>
  <r>
    <s v="Mum-TCL019"/>
    <x v="18"/>
    <x v="2"/>
    <n v="19"/>
    <n v="34"/>
    <n v="64"/>
    <n v="65"/>
    <n v="70"/>
    <x v="15"/>
    <x v="0"/>
    <n v="0.504"/>
    <n v="0.496"/>
  </r>
  <r>
    <s v="Mum-TCL020"/>
    <x v="19"/>
    <x v="3"/>
    <n v="93"/>
    <n v="84"/>
    <n v="13"/>
    <n v="45"/>
    <n v="18"/>
    <x v="16"/>
    <x v="0"/>
    <n v="0.50600000000000001"/>
    <n v="0.49399999999999999"/>
  </r>
  <r>
    <s v="Mum-TCL021"/>
    <x v="20"/>
    <x v="4"/>
    <n v="68"/>
    <n v="73"/>
    <n v="97"/>
    <n v="76"/>
    <n v="53"/>
    <x v="17"/>
    <x v="0"/>
    <n v="0.73399999999999999"/>
    <n v="0.26600000000000001"/>
  </r>
  <r>
    <s v="Mum-TCL022"/>
    <x v="21"/>
    <x v="5"/>
    <n v="99"/>
    <n v="17"/>
    <n v="48"/>
    <n v="44"/>
    <n v="93"/>
    <x v="18"/>
    <x v="0"/>
    <n v="0.60199999999999998"/>
    <n v="0.39800000000000002"/>
  </r>
  <r>
    <s v="Mum-TCL023"/>
    <x v="22"/>
    <x v="6"/>
    <n v="57"/>
    <n v="28"/>
    <n v="31"/>
    <n v="34"/>
    <n v="52"/>
    <x v="19"/>
    <x v="0"/>
    <n v="0.40400000000000003"/>
    <n v="0.59599999999999997"/>
  </r>
  <r>
    <s v="Mum-TCL024"/>
    <x v="23"/>
    <x v="7"/>
    <n v="40"/>
    <n v="22"/>
    <n v="18"/>
    <n v="11"/>
    <n v="92"/>
    <x v="20"/>
    <x v="0"/>
    <n v="0.36599999999999999"/>
    <n v="0.63400000000000001"/>
  </r>
  <r>
    <s v="Mum-TCL025"/>
    <x v="24"/>
    <x v="0"/>
    <n v="47"/>
    <n v="99"/>
    <n v="94"/>
    <n v="75"/>
    <n v="29"/>
    <x v="21"/>
    <x v="0"/>
    <n v="0.68799999999999994"/>
    <n v="0.31200000000000006"/>
  </r>
  <r>
    <s v="Mum-TCL026"/>
    <x v="25"/>
    <x v="1"/>
    <n v="16"/>
    <n v="71"/>
    <n v="80"/>
    <n v="76"/>
    <n v="33"/>
    <x v="22"/>
    <x v="0"/>
    <n v="0.55200000000000005"/>
    <n v="0.44799999999999995"/>
  </r>
  <r>
    <s v="Mum-TCL027"/>
    <x v="26"/>
    <x v="2"/>
    <n v="72"/>
    <n v="87"/>
    <n v="92"/>
    <n v="72"/>
    <n v="34"/>
    <x v="23"/>
    <x v="0"/>
    <n v="0.71399999999999997"/>
    <n v="0.28600000000000003"/>
  </r>
  <r>
    <s v="Mum-TCL028"/>
    <x v="27"/>
    <x v="3"/>
    <n v="30"/>
    <n v="38"/>
    <n v="70"/>
    <n v="89"/>
    <n v="97"/>
    <x v="24"/>
    <x v="0"/>
    <n v="0.64800000000000002"/>
    <n v="0.35199999999999998"/>
  </r>
  <r>
    <s v="Mum-TCL029"/>
    <x v="28"/>
    <x v="4"/>
    <n v="65"/>
    <n v="90"/>
    <n v="91"/>
    <n v="85"/>
    <n v="10"/>
    <x v="25"/>
    <x v="0"/>
    <n v="0.68200000000000005"/>
    <n v="0.31799999999999995"/>
  </r>
  <r>
    <s v="Mum-TCL030"/>
    <x v="29"/>
    <x v="5"/>
    <n v="83"/>
    <n v="46"/>
    <n v="99"/>
    <n v="36"/>
    <n v="89"/>
    <x v="26"/>
    <x v="0"/>
    <n v="0.70599999999999996"/>
    <n v="0.29400000000000004"/>
  </r>
  <r>
    <s v="Mum-TCL031"/>
    <x v="30"/>
    <x v="6"/>
    <n v="10"/>
    <n v="66"/>
    <n v="40"/>
    <n v="22"/>
    <n v="38"/>
    <x v="27"/>
    <x v="0"/>
    <n v="0.35199999999999998"/>
    <n v="0.64800000000000002"/>
  </r>
  <r>
    <s v="Mum-TCL032"/>
    <x v="31"/>
    <x v="7"/>
    <n v="37"/>
    <n v="30"/>
    <n v="19"/>
    <n v="77"/>
    <n v="67"/>
    <x v="28"/>
    <x v="0"/>
    <n v="0.46"/>
    <n v="0.54"/>
  </r>
  <r>
    <s v="Mum-TCL033"/>
    <x v="32"/>
    <x v="0"/>
    <n v="83"/>
    <n v="46"/>
    <n v="17"/>
    <n v="94"/>
    <n v="92"/>
    <x v="11"/>
    <x v="0"/>
    <n v="0.66400000000000003"/>
    <n v="0.33599999999999997"/>
  </r>
  <r>
    <s v="Mum-TCL034"/>
    <x v="33"/>
    <x v="1"/>
    <n v="84"/>
    <n v="59"/>
    <n v="41"/>
    <n v="17"/>
    <n v="22"/>
    <x v="29"/>
    <x v="0"/>
    <n v="0.44600000000000001"/>
    <n v="0.55400000000000005"/>
  </r>
  <r>
    <s v="Mum-TCL035"/>
    <x v="34"/>
    <x v="2"/>
    <n v="82"/>
    <n v="54"/>
    <n v="79"/>
    <n v="61"/>
    <n v="47"/>
    <x v="30"/>
    <x v="0"/>
    <n v="0.64600000000000002"/>
    <n v="0.35399999999999998"/>
  </r>
  <r>
    <s v="Mum-TCL036"/>
    <x v="35"/>
    <x v="3"/>
    <n v="47"/>
    <n v="23"/>
    <n v="19"/>
    <n v="64"/>
    <n v="61"/>
    <x v="31"/>
    <x v="0"/>
    <n v="0.42799999999999999"/>
    <n v="0.57200000000000006"/>
  </r>
  <r>
    <s v="Mum-TCL037"/>
    <x v="36"/>
    <x v="4"/>
    <n v="91"/>
    <n v="13"/>
    <n v="79"/>
    <n v="85"/>
    <n v="67"/>
    <x v="32"/>
    <x v="0"/>
    <n v="0.67"/>
    <n v="0.32999999999999996"/>
  </r>
  <r>
    <s v="Mum-TCL038"/>
    <x v="37"/>
    <x v="5"/>
    <n v="66"/>
    <n v="59"/>
    <n v="25"/>
    <n v="55"/>
    <n v="59"/>
    <x v="33"/>
    <x v="0"/>
    <n v="0.52800000000000002"/>
    <n v="0.47199999999999998"/>
  </r>
  <r>
    <s v="Mum-TCL039"/>
    <x v="38"/>
    <x v="6"/>
    <n v="70"/>
    <n v="18"/>
    <n v="88"/>
    <n v="46"/>
    <n v="52"/>
    <x v="34"/>
    <x v="0"/>
    <n v="0.54800000000000004"/>
    <n v="0.45199999999999996"/>
  </r>
  <r>
    <s v="Mum-TCL040"/>
    <x v="39"/>
    <x v="7"/>
    <n v="37"/>
    <n v="60"/>
    <n v="44"/>
    <n v="61"/>
    <n v="30"/>
    <x v="35"/>
    <x v="0"/>
    <n v="0.46400000000000002"/>
    <n v="0.53600000000000003"/>
  </r>
  <r>
    <s v="Mum-TCL041"/>
    <x v="40"/>
    <x v="0"/>
    <n v="16"/>
    <n v="46"/>
    <n v="33"/>
    <n v="54"/>
    <n v="58"/>
    <x v="36"/>
    <x v="0"/>
    <n v="0.41399999999999998"/>
    <n v="0.58600000000000008"/>
  </r>
  <r>
    <s v="Mum-TCL042"/>
    <x v="41"/>
    <x v="1"/>
    <n v="47"/>
    <n v="97"/>
    <n v="74"/>
    <n v="97"/>
    <n v="56"/>
    <x v="37"/>
    <x v="0"/>
    <n v="0.74199999999999999"/>
    <n v="0.25800000000000001"/>
  </r>
  <r>
    <s v="Mum-TCL043"/>
    <x v="42"/>
    <x v="2"/>
    <n v="86"/>
    <n v="22"/>
    <n v="10"/>
    <n v="60"/>
    <n v="28"/>
    <x v="38"/>
    <x v="0"/>
    <n v="0.41199999999999998"/>
    <n v="0.58800000000000008"/>
  </r>
  <r>
    <s v="Mum-TCL044"/>
    <x v="43"/>
    <x v="3"/>
    <n v="74"/>
    <n v="17"/>
    <n v="45"/>
    <n v="64"/>
    <n v="13"/>
    <x v="4"/>
    <x v="0"/>
    <n v="0.42599999999999999"/>
    <n v="0.57400000000000007"/>
  </r>
  <r>
    <s v="Mum-TCL045"/>
    <x v="44"/>
    <x v="4"/>
    <n v="80"/>
    <n v="51"/>
    <n v="15"/>
    <n v="97"/>
    <n v="42"/>
    <x v="7"/>
    <x v="0"/>
    <n v="0.56999999999999995"/>
    <n v="0.43000000000000005"/>
  </r>
  <r>
    <s v="Mum-TCL046"/>
    <x v="45"/>
    <x v="5"/>
    <n v="49"/>
    <n v="82"/>
    <n v="95"/>
    <n v="46"/>
    <n v="78"/>
    <x v="39"/>
    <x v="0"/>
    <n v="0.7"/>
    <n v="0.30000000000000004"/>
  </r>
  <r>
    <s v="Mum-TCL047"/>
    <x v="46"/>
    <x v="6"/>
    <n v="17"/>
    <n v="88"/>
    <n v="12"/>
    <n v="54"/>
    <n v="21"/>
    <x v="40"/>
    <x v="0"/>
    <n v="0.38400000000000001"/>
    <n v="0.61599999999999999"/>
  </r>
  <r>
    <s v="Mum-TCL048"/>
    <x v="47"/>
    <x v="7"/>
    <n v="74"/>
    <n v="16"/>
    <n v="74"/>
    <n v="36"/>
    <n v="33"/>
    <x v="41"/>
    <x v="0"/>
    <n v="0.46600000000000003"/>
    <n v="0.53400000000000003"/>
  </r>
  <r>
    <s v="Mum-TCL049"/>
    <x v="48"/>
    <x v="0"/>
    <n v="73"/>
    <n v="72"/>
    <n v="38"/>
    <n v="19"/>
    <n v="90"/>
    <x v="42"/>
    <x v="0"/>
    <n v="0.58399999999999996"/>
    <n v="0.41600000000000004"/>
  </r>
  <r>
    <s v="Mum-TCL050"/>
    <x v="49"/>
    <x v="1"/>
    <n v="17"/>
    <n v="84"/>
    <n v="90"/>
    <n v="77"/>
    <n v="72"/>
    <x v="43"/>
    <x v="0"/>
    <n v="0.68"/>
    <n v="0.31999999999999995"/>
  </r>
  <r>
    <s v="Mum-TCL051"/>
    <x v="50"/>
    <x v="2"/>
    <n v="52"/>
    <n v="36"/>
    <n v="84"/>
    <n v="41"/>
    <n v="57"/>
    <x v="44"/>
    <x v="0"/>
    <n v="0.54"/>
    <n v="0.45999999999999996"/>
  </r>
  <r>
    <s v="Mum-TCL052"/>
    <x v="51"/>
    <x v="3"/>
    <n v="65"/>
    <n v="67"/>
    <n v="72"/>
    <n v="22"/>
    <n v="23"/>
    <x v="45"/>
    <x v="0"/>
    <n v="0.498"/>
    <n v="0.502"/>
  </r>
  <r>
    <s v="Mum-TCL053"/>
    <x v="52"/>
    <x v="4"/>
    <n v="88"/>
    <n v="39"/>
    <n v="25"/>
    <n v="99"/>
    <n v="71"/>
    <x v="46"/>
    <x v="0"/>
    <n v="0.64400000000000002"/>
    <n v="0.35599999999999998"/>
  </r>
  <r>
    <s v="Mum-TCL054"/>
    <x v="53"/>
    <x v="5"/>
    <n v="23"/>
    <n v="14"/>
    <n v="15"/>
    <n v="58"/>
    <n v="79"/>
    <x v="8"/>
    <x v="0"/>
    <n v="0.378"/>
    <n v="0.622"/>
  </r>
  <r>
    <s v="Mum-TCL055"/>
    <x v="54"/>
    <x v="6"/>
    <n v="15"/>
    <n v="67"/>
    <n v="48"/>
    <n v="95"/>
    <n v="35"/>
    <x v="47"/>
    <x v="0"/>
    <n v="0.52"/>
    <n v="0.48"/>
  </r>
  <r>
    <s v="Mum-TCL056"/>
    <x v="55"/>
    <x v="7"/>
    <n v="18"/>
    <n v="35"/>
    <n v="82"/>
    <n v="31"/>
    <n v="26"/>
    <x v="40"/>
    <x v="0"/>
    <n v="0.38400000000000001"/>
    <n v="0.61599999999999999"/>
  </r>
  <r>
    <s v="Mum-TCL057"/>
    <x v="56"/>
    <x v="0"/>
    <n v="57"/>
    <n v="60"/>
    <n v="42"/>
    <n v="81"/>
    <n v="44"/>
    <x v="48"/>
    <x v="0"/>
    <n v="0.56799999999999995"/>
    <n v="0.43200000000000005"/>
  </r>
  <r>
    <s v="Mum-TCL058"/>
    <x v="57"/>
    <x v="1"/>
    <n v="34"/>
    <n v="97"/>
    <n v="66"/>
    <n v="45"/>
    <n v="50"/>
    <x v="42"/>
    <x v="0"/>
    <n v="0.58399999999999996"/>
    <n v="0.41600000000000004"/>
  </r>
  <r>
    <s v="Mum-TCL059"/>
    <x v="58"/>
    <x v="2"/>
    <n v="83"/>
    <n v="12"/>
    <n v="70"/>
    <n v="83"/>
    <n v="52"/>
    <x v="49"/>
    <x v="0"/>
    <n v="0.6"/>
    <n v="0.4"/>
  </r>
  <r>
    <s v="Mum-TCL060"/>
    <x v="59"/>
    <x v="3"/>
    <n v="76"/>
    <n v="55"/>
    <n v="56"/>
    <n v="16"/>
    <n v="61"/>
    <x v="33"/>
    <x v="0"/>
    <n v="0.52800000000000002"/>
    <n v="0.47199999999999998"/>
  </r>
  <r>
    <s v="Mum-TCL061"/>
    <x v="60"/>
    <x v="4"/>
    <n v="40"/>
    <n v="70"/>
    <n v="19"/>
    <n v="36"/>
    <n v="52"/>
    <x v="50"/>
    <x v="0"/>
    <n v="0.434"/>
    <n v="0.56600000000000006"/>
  </r>
  <r>
    <s v="Mum-TCL062"/>
    <x v="61"/>
    <x v="5"/>
    <n v="44"/>
    <n v="60"/>
    <n v="71"/>
    <n v="34"/>
    <n v="37"/>
    <x v="51"/>
    <x v="0"/>
    <n v="0.49199999999999999"/>
    <n v="0.50800000000000001"/>
  </r>
  <r>
    <s v="Mum-TCL063"/>
    <x v="62"/>
    <x v="6"/>
    <n v="43"/>
    <n v="78"/>
    <n v="15"/>
    <n v="98"/>
    <n v="33"/>
    <x v="52"/>
    <x v="0"/>
    <n v="0.53400000000000003"/>
    <n v="0.46599999999999997"/>
  </r>
  <r>
    <s v="Mum-TCL064"/>
    <x v="63"/>
    <x v="7"/>
    <n v="75"/>
    <n v="75"/>
    <n v="89"/>
    <n v="97"/>
    <n v="49"/>
    <x v="53"/>
    <x v="0"/>
    <n v="0.77"/>
    <n v="0.22999999999999998"/>
  </r>
  <r>
    <s v="Mum-TCL065"/>
    <x v="64"/>
    <x v="0"/>
    <n v="74"/>
    <n v="51"/>
    <n v="97"/>
    <n v="73"/>
    <n v="33"/>
    <x v="54"/>
    <x v="0"/>
    <n v="0.65600000000000003"/>
    <n v="0.34399999999999997"/>
  </r>
  <r>
    <s v="Mum-TCL066"/>
    <x v="65"/>
    <x v="1"/>
    <n v="44"/>
    <n v="36"/>
    <n v="11"/>
    <n v="45"/>
    <n v="30"/>
    <x v="55"/>
    <x v="0"/>
    <n v="0.33200000000000002"/>
    <n v="0.66799999999999993"/>
  </r>
  <r>
    <s v="Mum-TCL067"/>
    <x v="66"/>
    <x v="2"/>
    <n v="87"/>
    <n v="79"/>
    <n v="46"/>
    <n v="65"/>
    <n v="65"/>
    <x v="56"/>
    <x v="0"/>
    <n v="0.68400000000000005"/>
    <n v="0.31599999999999995"/>
  </r>
  <r>
    <s v="Mum-TCL068"/>
    <x v="67"/>
    <x v="3"/>
    <n v="70"/>
    <n v="52"/>
    <n v="80"/>
    <n v="43"/>
    <n v="48"/>
    <x v="57"/>
    <x v="0"/>
    <n v="0.58599999999999997"/>
    <n v="0.41400000000000003"/>
  </r>
  <r>
    <s v="Mum-TCL069"/>
    <x v="68"/>
    <x v="4"/>
    <n v="45"/>
    <n v="26"/>
    <n v="27"/>
    <n v="14"/>
    <n v="59"/>
    <x v="58"/>
    <x v="0"/>
    <n v="0.34200000000000003"/>
    <n v="0.65799999999999992"/>
  </r>
  <r>
    <s v="Mum-TCL070"/>
    <x v="69"/>
    <x v="5"/>
    <n v="51"/>
    <n v="26"/>
    <n v="58"/>
    <n v="83"/>
    <n v="11"/>
    <x v="59"/>
    <x v="0"/>
    <n v="0.45800000000000002"/>
    <n v="0.54200000000000004"/>
  </r>
  <r>
    <s v="Mum-TCL071"/>
    <x v="70"/>
    <x v="6"/>
    <n v="68"/>
    <n v="36"/>
    <n v="15"/>
    <n v="20"/>
    <n v="17"/>
    <x v="60"/>
    <x v="0"/>
    <n v="0.312"/>
    <n v="0.68799999999999994"/>
  </r>
  <r>
    <s v="Mum-TCL072"/>
    <x v="71"/>
    <x v="7"/>
    <n v="32"/>
    <n v="74"/>
    <n v="18"/>
    <n v="33"/>
    <n v="51"/>
    <x v="61"/>
    <x v="0"/>
    <n v="0.41599999999999998"/>
    <n v="0.58400000000000007"/>
  </r>
  <r>
    <s v="Mum-TCL073"/>
    <x v="72"/>
    <x v="0"/>
    <n v="41"/>
    <n v="11"/>
    <n v="46"/>
    <n v="35"/>
    <n v="10"/>
    <x v="62"/>
    <x v="0"/>
    <n v="0.28599999999999998"/>
    <n v="0.71399999999999997"/>
  </r>
  <r>
    <s v="Mum-TCL074"/>
    <x v="73"/>
    <x v="1"/>
    <n v="41"/>
    <n v="17"/>
    <n v="82"/>
    <n v="75"/>
    <n v="39"/>
    <x v="63"/>
    <x v="0"/>
    <n v="0.50800000000000001"/>
    <n v="0.49199999999999999"/>
  </r>
  <r>
    <s v="Mum-TCL075"/>
    <x v="74"/>
    <x v="2"/>
    <n v="12"/>
    <n v="97"/>
    <n v="45"/>
    <n v="29"/>
    <n v="41"/>
    <x v="64"/>
    <x v="0"/>
    <n v="0.44800000000000001"/>
    <n v="0.55200000000000005"/>
  </r>
  <r>
    <s v="Mum-TCL076"/>
    <x v="75"/>
    <x v="3"/>
    <n v="19"/>
    <n v="72"/>
    <n v="87"/>
    <n v="82"/>
    <n v="27"/>
    <x v="65"/>
    <x v="0"/>
    <n v="0.57399999999999995"/>
    <n v="0.42600000000000005"/>
  </r>
  <r>
    <s v="Mum-TCL077"/>
    <x v="76"/>
    <x v="4"/>
    <n v="98"/>
    <n v="15"/>
    <n v="72"/>
    <n v="67"/>
    <n v="34"/>
    <x v="66"/>
    <x v="0"/>
    <n v="0.57199999999999995"/>
    <n v="0.42800000000000005"/>
  </r>
  <r>
    <s v="Mum-TCL078"/>
    <x v="77"/>
    <x v="5"/>
    <n v="50"/>
    <n v="44"/>
    <n v="46"/>
    <n v="13"/>
    <n v="92"/>
    <x v="67"/>
    <x v="0"/>
    <n v="0.49"/>
    <n v="0.51"/>
  </r>
  <r>
    <s v="Mum-TCL079"/>
    <x v="78"/>
    <x v="6"/>
    <n v="40"/>
    <n v="82"/>
    <n v="72"/>
    <n v="42"/>
    <n v="45"/>
    <x v="68"/>
    <x v="0"/>
    <n v="0.56200000000000006"/>
    <n v="0.43799999999999994"/>
  </r>
  <r>
    <s v="Mum-TCL080"/>
    <x v="79"/>
    <x v="7"/>
    <n v="23"/>
    <n v="83"/>
    <n v="63"/>
    <n v="65"/>
    <n v="83"/>
    <x v="69"/>
    <x v="0"/>
    <n v="0.63400000000000001"/>
    <n v="0.36599999999999999"/>
  </r>
  <r>
    <s v="Mum-TCL081"/>
    <x v="80"/>
    <x v="0"/>
    <n v="71"/>
    <n v="94"/>
    <n v="45"/>
    <n v="95"/>
    <n v="46"/>
    <x v="70"/>
    <x v="0"/>
    <n v="0.70199999999999996"/>
    <n v="0.29800000000000004"/>
  </r>
  <r>
    <s v="Mum-TCL082"/>
    <x v="81"/>
    <x v="1"/>
    <n v="48"/>
    <n v="49"/>
    <n v="68"/>
    <n v="23"/>
    <n v="21"/>
    <x v="71"/>
    <x v="0"/>
    <n v="0.41799999999999998"/>
    <n v="0.58200000000000007"/>
  </r>
  <r>
    <s v="Mum-TCL083"/>
    <x v="82"/>
    <x v="2"/>
    <n v="77"/>
    <n v="83"/>
    <n v="64"/>
    <n v="53"/>
    <n v="13"/>
    <x v="72"/>
    <x v="0"/>
    <n v="0.57999999999999996"/>
    <n v="0.42000000000000004"/>
  </r>
  <r>
    <s v="Mum-TCL084"/>
    <x v="83"/>
    <x v="3"/>
    <n v="81"/>
    <n v="63"/>
    <n v="88"/>
    <n v="89"/>
    <n v="63"/>
    <x v="73"/>
    <x v="0"/>
    <n v="0.76800000000000002"/>
    <n v="0.23199999999999998"/>
  </r>
  <r>
    <s v="Mum-TCL085"/>
    <x v="84"/>
    <x v="4"/>
    <n v="39"/>
    <n v="87"/>
    <n v="62"/>
    <n v="80"/>
    <n v="81"/>
    <x v="74"/>
    <x v="0"/>
    <n v="0.69799999999999995"/>
    <n v="0.30200000000000005"/>
  </r>
  <r>
    <s v="Mum-TCL086"/>
    <x v="85"/>
    <x v="5"/>
    <n v="46"/>
    <n v="19"/>
    <n v="59"/>
    <n v="58"/>
    <n v="33"/>
    <x v="75"/>
    <x v="0"/>
    <n v="0.43"/>
    <n v="0.57000000000000006"/>
  </r>
  <r>
    <s v="Mum-TCL087"/>
    <x v="86"/>
    <x v="6"/>
    <n v="34"/>
    <n v="15"/>
    <n v="43"/>
    <n v="63"/>
    <n v="54"/>
    <x v="71"/>
    <x v="0"/>
    <n v="0.41799999999999998"/>
    <n v="0.58200000000000007"/>
  </r>
  <r>
    <s v="Mum-TCL088"/>
    <x v="87"/>
    <x v="7"/>
    <n v="32"/>
    <n v="79"/>
    <n v="65"/>
    <n v="57"/>
    <n v="73"/>
    <x v="13"/>
    <x v="0"/>
    <n v="0.61199999999999999"/>
    <n v="0.38800000000000001"/>
  </r>
  <r>
    <s v="Mum-TCL089"/>
    <x v="88"/>
    <x v="0"/>
    <n v="72"/>
    <n v="82"/>
    <n v="58"/>
    <n v="36"/>
    <n v="33"/>
    <x v="68"/>
    <x v="0"/>
    <n v="0.56200000000000006"/>
    <n v="0.43799999999999994"/>
  </r>
  <r>
    <s v="Mum-TCL090"/>
    <x v="89"/>
    <x v="1"/>
    <n v="11"/>
    <n v="69"/>
    <n v="49"/>
    <n v="90"/>
    <n v="99"/>
    <x v="76"/>
    <x v="0"/>
    <n v="0.63600000000000001"/>
    <n v="0.36399999999999999"/>
  </r>
  <r>
    <s v="Mum-TCL091"/>
    <x v="90"/>
    <x v="2"/>
    <n v="80"/>
    <n v="73"/>
    <n v="21"/>
    <n v="72"/>
    <n v="54"/>
    <x v="49"/>
    <x v="0"/>
    <n v="0.6"/>
    <n v="0.4"/>
  </r>
  <r>
    <s v="Mum-TCL092"/>
    <x v="91"/>
    <x v="3"/>
    <n v="93"/>
    <n v="42"/>
    <n v="38"/>
    <n v="98"/>
    <n v="10"/>
    <x v="68"/>
    <x v="0"/>
    <n v="0.56200000000000006"/>
    <n v="0.43799999999999994"/>
  </r>
  <r>
    <s v="Mum-TCL093"/>
    <x v="92"/>
    <x v="4"/>
    <n v="18"/>
    <n v="80"/>
    <n v="20"/>
    <n v="32"/>
    <n v="95"/>
    <x v="67"/>
    <x v="0"/>
    <n v="0.49"/>
    <n v="0.51"/>
  </r>
  <r>
    <s v="Mum-TCL094"/>
    <x v="93"/>
    <x v="5"/>
    <n v="96"/>
    <n v="14"/>
    <n v="20"/>
    <n v="31"/>
    <n v="44"/>
    <x v="77"/>
    <x v="0"/>
    <n v="0.41"/>
    <n v="0.59000000000000008"/>
  </r>
  <r>
    <s v="Mum-TCL095"/>
    <x v="94"/>
    <x v="6"/>
    <n v="37"/>
    <n v="60"/>
    <n v="50"/>
    <n v="68"/>
    <n v="19"/>
    <x v="78"/>
    <x v="0"/>
    <n v="0.46800000000000003"/>
    <n v="0.53200000000000003"/>
  </r>
  <r>
    <s v="Mum-TCL096"/>
    <x v="95"/>
    <x v="7"/>
    <n v="35"/>
    <n v="79"/>
    <n v="17"/>
    <n v="85"/>
    <n v="16"/>
    <x v="35"/>
    <x v="0"/>
    <n v="0.46400000000000002"/>
    <n v="0.53600000000000003"/>
  </r>
  <r>
    <s v="Mum-TCL097"/>
    <x v="96"/>
    <x v="0"/>
    <n v="31"/>
    <n v="48"/>
    <n v="56"/>
    <n v="85"/>
    <n v="25"/>
    <x v="67"/>
    <x v="0"/>
    <n v="0.49"/>
    <n v="0.51"/>
  </r>
  <r>
    <s v="Mum-TCL098"/>
    <x v="97"/>
    <x v="1"/>
    <n v="23"/>
    <n v="83"/>
    <n v="86"/>
    <n v="69"/>
    <n v="25"/>
    <x v="66"/>
    <x v="0"/>
    <n v="0.57199999999999995"/>
    <n v="0.42800000000000005"/>
  </r>
  <r>
    <s v="Mum-TCL099"/>
    <x v="98"/>
    <x v="2"/>
    <n v="17"/>
    <n v="97"/>
    <n v="81"/>
    <n v="32"/>
    <n v="76"/>
    <x v="79"/>
    <x v="0"/>
    <n v="0.60599999999999998"/>
    <n v="0.39400000000000002"/>
  </r>
  <r>
    <s v="Mum-TCL100"/>
    <x v="99"/>
    <x v="3"/>
    <n v="92"/>
    <n v="45"/>
    <n v="43"/>
    <n v="91"/>
    <n v="47"/>
    <x v="76"/>
    <x v="0"/>
    <n v="0.63600000000000001"/>
    <n v="0.36399999999999999"/>
  </r>
  <r>
    <s v="Mum-TCL101"/>
    <x v="100"/>
    <x v="4"/>
    <n v="49"/>
    <n v="77"/>
    <n v="18"/>
    <n v="69"/>
    <n v="55"/>
    <x v="80"/>
    <x v="0"/>
    <n v="0.53600000000000003"/>
    <n v="0.46399999999999997"/>
  </r>
  <r>
    <s v="Mum-TCL102"/>
    <x v="101"/>
    <x v="5"/>
    <n v="81"/>
    <n v="88"/>
    <n v="19"/>
    <n v="95"/>
    <n v="39"/>
    <x v="46"/>
    <x v="0"/>
    <n v="0.64400000000000002"/>
    <n v="0.35599999999999998"/>
  </r>
  <r>
    <s v="Mum-TCL103"/>
    <x v="102"/>
    <x v="6"/>
    <n v="55"/>
    <n v="14"/>
    <n v="41"/>
    <n v="40"/>
    <n v="70"/>
    <x v="81"/>
    <x v="0"/>
    <n v="0.44"/>
    <n v="0.56000000000000005"/>
  </r>
  <r>
    <s v="Mum-TCL104"/>
    <x v="103"/>
    <x v="7"/>
    <n v="86"/>
    <n v="13"/>
    <n v="99"/>
    <n v="25"/>
    <n v="83"/>
    <x v="13"/>
    <x v="0"/>
    <n v="0.61199999999999999"/>
    <n v="0.38800000000000001"/>
  </r>
  <r>
    <s v="Mum-TCL105"/>
    <x v="104"/>
    <x v="0"/>
    <n v="88"/>
    <n v="96"/>
    <n v="16"/>
    <n v="65"/>
    <n v="86"/>
    <x v="70"/>
    <x v="0"/>
    <n v="0.70199999999999996"/>
    <n v="0.29800000000000004"/>
  </r>
  <r>
    <s v="Mum-TCL106"/>
    <x v="105"/>
    <x v="1"/>
    <n v="61"/>
    <n v="73"/>
    <n v="34"/>
    <n v="30"/>
    <n v="30"/>
    <x v="82"/>
    <x v="0"/>
    <n v="0.45600000000000002"/>
    <n v="0.54400000000000004"/>
  </r>
  <r>
    <s v="Mum-TCL107"/>
    <x v="106"/>
    <x v="2"/>
    <n v="61"/>
    <n v="91"/>
    <n v="53"/>
    <n v="78"/>
    <n v="91"/>
    <x v="83"/>
    <x v="0"/>
    <n v="0.748"/>
    <n v="0.252"/>
  </r>
  <r>
    <s v="Mum-TCL108"/>
    <x v="107"/>
    <x v="3"/>
    <n v="75"/>
    <n v="53"/>
    <n v="27"/>
    <n v="26"/>
    <n v="30"/>
    <x v="84"/>
    <x v="0"/>
    <n v="0.42199999999999999"/>
    <n v="0.57800000000000007"/>
  </r>
  <r>
    <s v="Mum-TCL109"/>
    <x v="108"/>
    <x v="4"/>
    <n v="24"/>
    <n v="31"/>
    <n v="41"/>
    <n v="57"/>
    <n v="83"/>
    <x v="85"/>
    <x v="0"/>
    <n v="0.47199999999999998"/>
    <n v="0.52800000000000002"/>
  </r>
  <r>
    <s v="Mum-TCL110"/>
    <x v="109"/>
    <x v="5"/>
    <n v="83"/>
    <n v="62"/>
    <n v="32"/>
    <n v="83"/>
    <n v="95"/>
    <x v="86"/>
    <x v="0"/>
    <n v="0.71"/>
    <n v="0.29000000000000004"/>
  </r>
  <r>
    <s v="Mum-TCL111"/>
    <x v="110"/>
    <x v="6"/>
    <n v="39"/>
    <n v="52"/>
    <n v="72"/>
    <n v="99"/>
    <n v="58"/>
    <x v="87"/>
    <x v="0"/>
    <n v="0.64"/>
    <n v="0.36"/>
  </r>
  <r>
    <s v="Mum-TCL112"/>
    <x v="111"/>
    <x v="7"/>
    <n v="93"/>
    <n v="74"/>
    <n v="85"/>
    <n v="47"/>
    <n v="90"/>
    <x v="88"/>
    <x v="0"/>
    <n v="0.77800000000000002"/>
    <n v="0.22199999999999998"/>
  </r>
  <r>
    <s v="Mum-TCL113"/>
    <x v="112"/>
    <x v="0"/>
    <n v="43"/>
    <n v="88"/>
    <n v="35"/>
    <n v="54"/>
    <n v="91"/>
    <x v="89"/>
    <x v="0"/>
    <n v="0.622"/>
    <n v="0.378"/>
  </r>
  <r>
    <s v="Mum-TCL114"/>
    <x v="113"/>
    <x v="1"/>
    <n v="87"/>
    <n v="15"/>
    <n v="11"/>
    <n v="42"/>
    <n v="88"/>
    <x v="90"/>
    <x v="0"/>
    <n v="0.48599999999999999"/>
    <n v="0.51400000000000001"/>
  </r>
  <r>
    <s v="Mum-TCL115"/>
    <x v="114"/>
    <x v="2"/>
    <n v="45"/>
    <n v="45"/>
    <n v="61"/>
    <n v="11"/>
    <n v="52"/>
    <x v="31"/>
    <x v="0"/>
    <n v="0.42799999999999999"/>
    <n v="0.57200000000000006"/>
  </r>
  <r>
    <s v="Mum-TCL116"/>
    <x v="115"/>
    <x v="3"/>
    <n v="71"/>
    <n v="42"/>
    <n v="17"/>
    <n v="57"/>
    <n v="96"/>
    <x v="91"/>
    <x v="0"/>
    <n v="0.56599999999999995"/>
    <n v="0.43400000000000005"/>
  </r>
  <r>
    <s v="Mum-TCL117"/>
    <x v="116"/>
    <x v="4"/>
    <n v="26"/>
    <n v="65"/>
    <n v="17"/>
    <n v="28"/>
    <n v="30"/>
    <x v="55"/>
    <x v="0"/>
    <n v="0.33200000000000002"/>
    <n v="0.66799999999999993"/>
  </r>
  <r>
    <s v="Mum-TCL118"/>
    <x v="117"/>
    <x v="5"/>
    <n v="26"/>
    <n v="61"/>
    <n v="89"/>
    <n v="71"/>
    <n v="33"/>
    <x v="92"/>
    <x v="0"/>
    <n v="0.56000000000000005"/>
    <n v="0.43999999999999995"/>
  </r>
  <r>
    <s v="Mum-TCL119"/>
    <x v="118"/>
    <x v="6"/>
    <n v="93"/>
    <n v="11"/>
    <n v="93"/>
    <n v="31"/>
    <n v="30"/>
    <x v="93"/>
    <x v="0"/>
    <n v="0.51600000000000001"/>
    <n v="0.48399999999999999"/>
  </r>
  <r>
    <s v="Mum-TCL120"/>
    <x v="119"/>
    <x v="7"/>
    <n v="65"/>
    <n v="92"/>
    <n v="48"/>
    <n v="96"/>
    <n v="15"/>
    <x v="94"/>
    <x v="0"/>
    <n v="0.63200000000000001"/>
    <n v="0.36799999999999999"/>
  </r>
  <r>
    <s v="Mum-TCL121"/>
    <x v="120"/>
    <x v="0"/>
    <n v="91"/>
    <n v="38"/>
    <n v="33"/>
    <n v="55"/>
    <n v="83"/>
    <x v="49"/>
    <x v="0"/>
    <n v="0.6"/>
    <n v="0.4"/>
  </r>
  <r>
    <s v="Mum-TCL122"/>
    <x v="121"/>
    <x v="1"/>
    <n v="20"/>
    <n v="94"/>
    <n v="45"/>
    <n v="70"/>
    <n v="98"/>
    <x v="95"/>
    <x v="0"/>
    <n v="0.65400000000000003"/>
    <n v="0.34599999999999997"/>
  </r>
  <r>
    <s v="Mum-TCL123"/>
    <x v="122"/>
    <x v="2"/>
    <n v="25"/>
    <n v="83"/>
    <n v="26"/>
    <n v="68"/>
    <n v="22"/>
    <x v="64"/>
    <x v="0"/>
    <n v="0.44800000000000001"/>
    <n v="0.55200000000000005"/>
  </r>
  <r>
    <s v="Mum-TCL124"/>
    <x v="123"/>
    <x v="3"/>
    <n v="26"/>
    <n v="16"/>
    <n v="61"/>
    <n v="92"/>
    <n v="50"/>
    <x v="67"/>
    <x v="0"/>
    <n v="0.49"/>
    <n v="0.51"/>
  </r>
  <r>
    <s v="Mum-TCL125"/>
    <x v="124"/>
    <x v="4"/>
    <n v="31"/>
    <n v="55"/>
    <n v="75"/>
    <n v="66"/>
    <n v="75"/>
    <x v="96"/>
    <x v="0"/>
    <n v="0.60399999999999998"/>
    <n v="0.39600000000000002"/>
  </r>
  <r>
    <s v="Mum-TCL126"/>
    <x v="125"/>
    <x v="5"/>
    <n v="41"/>
    <n v="66"/>
    <n v="48"/>
    <n v="70"/>
    <n v="48"/>
    <x v="97"/>
    <x v="0"/>
    <n v="0.54600000000000004"/>
    <n v="0.45399999999999996"/>
  </r>
  <r>
    <s v="Mum-TCL127"/>
    <x v="126"/>
    <x v="6"/>
    <n v="60"/>
    <n v="92"/>
    <n v="32"/>
    <n v="60"/>
    <n v="78"/>
    <x v="46"/>
    <x v="0"/>
    <n v="0.64400000000000002"/>
    <n v="0.35599999999999998"/>
  </r>
  <r>
    <s v="Mum-TCL128"/>
    <x v="127"/>
    <x v="7"/>
    <n v="42"/>
    <n v="24"/>
    <n v="19"/>
    <n v="82"/>
    <n v="16"/>
    <x v="20"/>
    <x v="0"/>
    <n v="0.36599999999999999"/>
    <n v="0.63400000000000001"/>
  </r>
  <r>
    <s v="Mum-TCL129"/>
    <x v="128"/>
    <x v="0"/>
    <n v="26"/>
    <n v="85"/>
    <n v="75"/>
    <n v="83"/>
    <n v="37"/>
    <x v="13"/>
    <x v="0"/>
    <n v="0.61199999999999999"/>
    <n v="0.38800000000000001"/>
  </r>
  <r>
    <s v="Mum-TCL130"/>
    <x v="129"/>
    <x v="1"/>
    <n v="81"/>
    <n v="68"/>
    <n v="74"/>
    <n v="72"/>
    <n v="12"/>
    <x v="98"/>
    <x v="0"/>
    <n v="0.61399999999999999"/>
    <n v="0.38600000000000001"/>
  </r>
  <r>
    <s v="Mum-TCL131"/>
    <x v="130"/>
    <x v="2"/>
    <n v="90"/>
    <n v="79"/>
    <n v="99"/>
    <n v="60"/>
    <n v="27"/>
    <x v="86"/>
    <x v="0"/>
    <n v="0.71"/>
    <n v="0.29000000000000004"/>
  </r>
  <r>
    <s v="Mum-TCL132"/>
    <x v="131"/>
    <x v="3"/>
    <n v="71"/>
    <n v="21"/>
    <n v="70"/>
    <n v="53"/>
    <n v="49"/>
    <x v="33"/>
    <x v="0"/>
    <n v="0.52800000000000002"/>
    <n v="0.47199999999999998"/>
  </r>
  <r>
    <s v="Mum-TCL133"/>
    <x v="132"/>
    <x v="4"/>
    <n v="86"/>
    <n v="60"/>
    <n v="59"/>
    <n v="51"/>
    <n v="90"/>
    <x v="99"/>
    <x v="0"/>
    <n v="0.69199999999999995"/>
    <n v="0.30800000000000005"/>
  </r>
  <r>
    <s v="Mum-TCL134"/>
    <x v="133"/>
    <x v="5"/>
    <n v="68"/>
    <n v="61"/>
    <n v="12"/>
    <n v="41"/>
    <n v="35"/>
    <x v="50"/>
    <x v="0"/>
    <n v="0.434"/>
    <n v="0.56600000000000006"/>
  </r>
  <r>
    <s v="Mum-TCL135"/>
    <x v="134"/>
    <x v="6"/>
    <n v="65"/>
    <n v="34"/>
    <n v="15"/>
    <n v="86"/>
    <n v="71"/>
    <x v="100"/>
    <x v="0"/>
    <n v="0.54200000000000004"/>
    <n v="0.45799999999999996"/>
  </r>
  <r>
    <s v="Mum-TCL136"/>
    <x v="135"/>
    <x v="7"/>
    <n v="91"/>
    <n v="21"/>
    <n v="59"/>
    <n v="85"/>
    <n v="60"/>
    <x v="94"/>
    <x v="0"/>
    <n v="0.63200000000000001"/>
    <n v="0.36799999999999999"/>
  </r>
  <r>
    <s v="Mum-TCL137"/>
    <x v="136"/>
    <x v="0"/>
    <n v="73"/>
    <n v="67"/>
    <n v="49"/>
    <n v="56"/>
    <n v="43"/>
    <x v="3"/>
    <x v="0"/>
    <n v="0.57599999999999996"/>
    <n v="0.42400000000000004"/>
  </r>
  <r>
    <s v="Mum-TCL138"/>
    <x v="137"/>
    <x v="1"/>
    <n v="72"/>
    <n v="49"/>
    <n v="93"/>
    <n v="95"/>
    <n v="73"/>
    <x v="101"/>
    <x v="0"/>
    <n v="0.76400000000000001"/>
    <n v="0.23599999999999999"/>
  </r>
  <r>
    <s v="Mum-TCL139"/>
    <x v="138"/>
    <x v="2"/>
    <n v="85"/>
    <n v="43"/>
    <n v="74"/>
    <n v="26"/>
    <n v="88"/>
    <x v="94"/>
    <x v="0"/>
    <n v="0.63200000000000001"/>
    <n v="0.36799999999999999"/>
  </r>
  <r>
    <s v="Mum-TCL140"/>
    <x v="139"/>
    <x v="3"/>
    <n v="77"/>
    <n v="81"/>
    <n v="10"/>
    <n v="65"/>
    <n v="83"/>
    <x v="94"/>
    <x v="0"/>
    <n v="0.63200000000000001"/>
    <n v="0.36799999999999999"/>
  </r>
  <r>
    <s v="Mum-TCL141"/>
    <x v="140"/>
    <x v="4"/>
    <n v="46"/>
    <n v="52"/>
    <n v="57"/>
    <n v="67"/>
    <n v="64"/>
    <x v="66"/>
    <x v="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1100-000000000000}" name="PivotTable1" cacheId="0"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chartFormat="8" rowHeaderCaption="Sales Executive">
  <location ref="B9:C14" firstHeaderRow="1" firstDataRow="1" firstDataCol="1"/>
  <pivotFields count="12">
    <pivotField showAll="0"/>
    <pivotField axis="axisRow" showAll="0" measureFilter="1">
      <items count="275">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f="1" x="141"/>
        <item f="1" x="142"/>
        <item f="1" x="143"/>
        <item f="1" x="144"/>
        <item f="1" x="145"/>
        <item f="1" x="146"/>
        <item f="1" x="147"/>
        <item f="1" x="148"/>
        <item f="1" x="149"/>
        <item f="1" x="150"/>
        <item f="1" x="151"/>
        <item f="1" x="152"/>
        <item f="1" x="153"/>
        <item f="1" x="154"/>
        <item f="1" x="155"/>
        <item f="1" x="156"/>
        <item f="1" x="157"/>
        <item f="1" x="158"/>
        <item f="1" x="159"/>
        <item f="1" x="160"/>
        <item f="1" x="161"/>
        <item f="1" x="162"/>
        <item f="1" x="163"/>
        <item f="1" x="164"/>
        <item f="1" x="165"/>
        <item f="1" x="166"/>
        <item f="1" x="167"/>
        <item f="1" x="168"/>
        <item f="1" x="169"/>
        <item f="1" x="170"/>
        <item f="1" x="171"/>
        <item f="1" x="172"/>
        <item f="1" x="173"/>
        <item f="1" x="174"/>
        <item f="1" x="175"/>
        <item f="1" x="176"/>
        <item f="1" x="177"/>
        <item f="1" x="178"/>
        <item f="1" x="179"/>
        <item f="1" x="180"/>
        <item f="1" x="181"/>
        <item f="1" x="182"/>
        <item f="1" x="183"/>
        <item f="1" x="184"/>
        <item f="1" x="185"/>
        <item f="1" x="186"/>
        <item f="1" x="187"/>
        <item f="1" x="188"/>
        <item f="1" x="189"/>
        <item f="1" x="190"/>
        <item f="1" x="191"/>
        <item f="1" x="192"/>
        <item f="1" x="193"/>
        <item f="1" x="194"/>
        <item f="1" x="195"/>
        <item f="1" x="196"/>
        <item f="1" x="197"/>
        <item f="1" x="198"/>
        <item f="1" x="199"/>
        <item f="1" x="200"/>
        <item f="1" x="201"/>
        <item f="1" x="202"/>
        <item f="1" x="203"/>
        <item f="1" x="204"/>
        <item f="1" x="205"/>
        <item f="1" x="206"/>
        <item f="1" x="207"/>
        <item f="1" x="208"/>
        <item f="1" x="209"/>
        <item f="1" x="210"/>
        <item f="1" x="211"/>
        <item f="1" x="212"/>
        <item f="1" x="213"/>
        <item f="1" x="214"/>
        <item f="1" x="215"/>
        <item f="1" x="216"/>
        <item f="1" x="217"/>
        <item f="1" x="218"/>
        <item f="1" x="219"/>
        <item f="1" x="220"/>
        <item f="1" x="221"/>
        <item f="1" x="222"/>
        <item f="1" x="223"/>
        <item f="1" x="224"/>
        <item f="1" x="225"/>
        <item f="1" x="226"/>
        <item f="1" x="227"/>
        <item f="1" x="228"/>
        <item f="1" x="229"/>
        <item f="1" x="230"/>
        <item f="1" x="231"/>
        <item f="1" x="232"/>
        <item f="1" x="233"/>
        <item f="1" x="234"/>
        <item f="1" x="235"/>
        <item f="1" x="236"/>
        <item f="1" x="237"/>
        <item f="1" x="238"/>
        <item f="1" x="239"/>
        <item f="1" x="240"/>
        <item f="1" x="241"/>
        <item f="1" x="242"/>
        <item f="1" x="243"/>
        <item f="1" x="244"/>
        <item f="1" x="245"/>
        <item f="1" x="246"/>
        <item f="1" x="247"/>
        <item f="1" x="248"/>
        <item f="1" x="249"/>
        <item f="1" x="250"/>
        <item f="1" x="251"/>
        <item f="1" x="252"/>
        <item f="1" x="253"/>
        <item f="1" x="254"/>
        <item f="1" x="255"/>
        <item f="1" x="256"/>
        <item f="1" x="257"/>
        <item f="1" x="258"/>
        <item f="1" x="259"/>
        <item f="1" x="260"/>
        <item f="1" x="261"/>
        <item f="1" x="262"/>
        <item f="1" x="263"/>
        <item f="1" x="264"/>
        <item f="1" x="265"/>
        <item f="1" x="266"/>
        <item f="1" x="267"/>
        <item f="1" x="268"/>
        <item f="1" x="269"/>
        <item f="1" x="270"/>
        <item f="1" x="271"/>
        <item f="1" x="272"/>
        <item f="1" x="273"/>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formats count="22">
    <format dxfId="21">
      <pivotArea type="all" dataOnly="0" outline="0" fieldPosition="0"/>
    </format>
    <format dxfId="20">
      <pivotArea outline="0" collapsedLevelsAreSubtotals="1" fieldPosition="0"/>
    </format>
    <format dxfId="19">
      <pivotArea field="1" type="button" dataOnly="0" labelOnly="1" outline="0" axis="axisRow" fieldPosition="0"/>
    </format>
    <format dxfId="18">
      <pivotArea dataOnly="0" labelOnly="1" outline="0" axis="axisValues" fieldPosition="0"/>
    </format>
    <format dxfId="17">
      <pivotArea dataOnly="0" labelOnly="1" fieldPosition="0">
        <references count="1">
          <reference field="1" count="5">
            <x v="16"/>
            <x v="32"/>
            <x v="64"/>
            <x v="129"/>
            <x v="137"/>
          </reference>
        </references>
      </pivotArea>
    </format>
    <format dxfId="16">
      <pivotArea dataOnly="0" labelOnly="1" grandRow="1" outline="0" fieldPosition="0"/>
    </format>
    <format dxfId="15">
      <pivotArea type="all" dataOnly="0" outline="0" fieldPosition="0"/>
    </format>
    <format dxfId="14">
      <pivotArea outline="0" collapsedLevelsAreSubtotals="1" fieldPosition="0"/>
    </format>
    <format dxfId="13">
      <pivotArea field="1" type="button" dataOnly="0" labelOnly="1" outline="0" axis="axisRow" fieldPosition="0"/>
    </format>
    <format dxfId="12">
      <pivotArea dataOnly="0" labelOnly="1" fieldPosition="0">
        <references count="1">
          <reference field="1" count="5">
            <x v="3"/>
            <x v="15"/>
            <x v="31"/>
            <x v="59"/>
            <x v="79"/>
          </reference>
        </references>
      </pivotArea>
    </format>
    <format dxfId="11">
      <pivotArea dataOnly="0" labelOnly="1" outline="0" axis="axisValues" fieldPosition="0"/>
    </format>
    <format dxfId="10">
      <pivotArea dataOnly="0" labelOnly="1" outline="0" axis="axisValues" fieldPosition="0"/>
    </format>
    <format dxfId="9">
      <pivotArea type="all" dataOnly="0" outline="0" fieldPosition="0"/>
    </format>
    <format dxfId="8">
      <pivotArea outline="0" collapsedLevelsAreSubtotals="1" fieldPosition="0"/>
    </format>
    <format dxfId="7">
      <pivotArea field="1" type="button" dataOnly="0" labelOnly="1" outline="0" axis="axisRow" fieldPosition="0"/>
    </format>
    <format dxfId="6">
      <pivotArea dataOnly="0" labelOnly="1" fieldPosition="0">
        <references count="1">
          <reference field="1" count="5">
            <x v="3"/>
            <x v="15"/>
            <x v="31"/>
            <x v="59"/>
            <x v="79"/>
          </reference>
        </references>
      </pivotArea>
    </format>
    <format dxfId="5">
      <pivotArea dataOnly="0" labelOnly="1" outline="0" axis="axisValues" fieldPosition="0"/>
    </format>
    <format dxfId="4">
      <pivotArea type="all" dataOnly="0" outline="0" fieldPosition="0"/>
    </format>
    <format dxfId="3">
      <pivotArea outline="0" collapsedLevelsAreSubtotals="1" fieldPosition="0"/>
    </format>
    <format dxfId="2">
      <pivotArea field="1" type="button" dataOnly="0" labelOnly="1" outline="0" axis="axisRow" fieldPosition="0"/>
    </format>
    <format dxfId="1">
      <pivotArea dataOnly="0" labelOnly="1" outline="0" axis="axisValues" fieldPosition="0"/>
    </format>
    <format dxfId="0">
      <pivotArea dataOnly="0" labelOnly="1" fieldPosition="0">
        <references count="1">
          <reference field="1" count="5">
            <x v="1"/>
            <x v="43"/>
            <x v="59"/>
            <x v="116"/>
            <x v="132"/>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59"/>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15"/>
          </reference>
        </references>
      </pivotArea>
    </chartFormat>
    <chartFormat chart="0" format="5">
      <pivotArea type="data" outline="0" fieldPosition="0">
        <references count="2">
          <reference field="4294967294" count="1" selected="0">
            <x v="0"/>
          </reference>
          <reference field="1" count="1" selected="0">
            <x v="3"/>
          </reference>
        </references>
      </pivotArea>
    </chartFormat>
  </chartFormats>
  <pivotTableStyleInfo name="PivotStyleLight1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1100-000003000000}" name="PivotTable5" cacheId="0"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chartFormat="17" rowHeaderCaption="Sales Executive">
  <location ref="K9:L14" firstHeaderRow="1" firstDataRow="1" firstDataCol="1"/>
  <pivotFields count="12">
    <pivotField showAll="0"/>
    <pivotField axis="axisRow" showAll="0" measureFilter="1">
      <items count="275">
        <item x="140"/>
        <item x="139"/>
        <item x="138"/>
        <item x="137"/>
        <item x="136"/>
        <item x="135"/>
        <item x="134"/>
        <item x="133"/>
        <item x="132"/>
        <item x="131"/>
        <item x="130"/>
        <item x="129"/>
        <item x="128"/>
        <item x="4"/>
        <item x="127"/>
        <item x="2"/>
        <item x="126"/>
        <item x="125"/>
        <item x="124"/>
        <item x="123"/>
        <item x="122"/>
        <item x="121"/>
        <item x="120"/>
        <item x="119"/>
        <item x="118"/>
        <item x="117"/>
        <item x="116"/>
        <item f="1" x="141"/>
        <item f="1" x="150"/>
        <item f="1" x="240"/>
        <item f="1" x="241"/>
        <item f="1" x="242"/>
        <item f="1" x="243"/>
        <item f="1" x="244"/>
        <item f="1" x="245"/>
        <item f="1" x="246"/>
        <item f="1" x="247"/>
        <item f="1" x="248"/>
        <item f="1" x="249"/>
        <item f="1" x="151"/>
        <item f="1" x="250"/>
        <item f="1" x="251"/>
        <item f="1" x="252"/>
        <item f="1" x="253"/>
        <item f="1" x="254"/>
        <item f="1" x="255"/>
        <item f="1" x="256"/>
        <item f="1" x="257"/>
        <item f="1" x="258"/>
        <item f="1" x="259"/>
        <item f="1" x="152"/>
        <item f="1" x="260"/>
        <item f="1" x="261"/>
        <item f="1" x="262"/>
        <item f="1" x="263"/>
        <item f="1" x="264"/>
        <item f="1" x="265"/>
        <item f="1" x="266"/>
        <item f="1" x="267"/>
        <item f="1" x="268"/>
        <item f="1" x="269"/>
        <item f="1" x="153"/>
        <item f="1" x="270"/>
        <item f="1" x="271"/>
        <item f="1" x="272"/>
        <item f="1" x="273"/>
        <item f="1" x="154"/>
        <item f="1" x="155"/>
        <item f="1" x="156"/>
        <item f="1" x="157"/>
        <item f="1" x="158"/>
        <item f="1" x="159"/>
        <item f="1" x="142"/>
        <item f="1" x="160"/>
        <item f="1" x="161"/>
        <item f="1" x="162"/>
        <item f="1" x="163"/>
        <item f="1" x="164"/>
        <item f="1" x="165"/>
        <item f="1" x="166"/>
        <item f="1" x="167"/>
        <item f="1" x="168"/>
        <item f="1" x="169"/>
        <item f="1" x="143"/>
        <item f="1" x="170"/>
        <item f="1" x="171"/>
        <item f="1" x="172"/>
        <item f="1" x="173"/>
        <item f="1" x="174"/>
        <item f="1" x="175"/>
        <item f="1" x="176"/>
        <item f="1" x="177"/>
        <item f="1" x="178"/>
        <item f="1" x="179"/>
        <item f="1" x="144"/>
        <item f="1" x="180"/>
        <item f="1" x="181"/>
        <item f="1" x="182"/>
        <item f="1" x="183"/>
        <item f="1" x="184"/>
        <item f="1" x="185"/>
        <item f="1" x="186"/>
        <item f="1" x="187"/>
        <item f="1" x="188"/>
        <item f="1" x="189"/>
        <item f="1" x="145"/>
        <item f="1" x="190"/>
        <item f="1" x="191"/>
        <item f="1" x="192"/>
        <item f="1" x="193"/>
        <item f="1" x="194"/>
        <item f="1" x="195"/>
        <item f="1" x="196"/>
        <item f="1" x="197"/>
        <item f="1" x="198"/>
        <item f="1" x="199"/>
        <item f="1" x="146"/>
        <item f="1" x="200"/>
        <item f="1" x="201"/>
        <item f="1" x="202"/>
        <item f="1" x="203"/>
        <item f="1" x="204"/>
        <item f="1" x="205"/>
        <item f="1" x="206"/>
        <item f="1" x="207"/>
        <item f="1" x="208"/>
        <item f="1" x="209"/>
        <item f="1" x="147"/>
        <item f="1" x="210"/>
        <item f="1" x="211"/>
        <item f="1" x="212"/>
        <item f="1" x="213"/>
        <item f="1" x="214"/>
        <item f="1" x="215"/>
        <item f="1" x="216"/>
        <item f="1" x="217"/>
        <item f="1" x="218"/>
        <item f="1" x="219"/>
        <item f="1" x="148"/>
        <item f="1" x="220"/>
        <item f="1" x="221"/>
        <item f="1" x="222"/>
        <item f="1" x="223"/>
        <item f="1" x="224"/>
        <item f="1" x="225"/>
        <item f="1" x="226"/>
        <item f="1" x="227"/>
        <item f="1" x="228"/>
        <item f="1" x="229"/>
        <item f="1" x="149"/>
        <item f="1" x="230"/>
        <item f="1" x="231"/>
        <item f="1" x="232"/>
        <item f="1" x="233"/>
        <item f="1" x="234"/>
        <item f="1" x="235"/>
        <item f="1" x="236"/>
        <item f="1" x="237"/>
        <item f="1" x="238"/>
        <item f="1" x="239"/>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161"/>
    </i>
    <i>
      <x v="201"/>
    </i>
    <i>
      <x v="234"/>
    </i>
    <i>
      <x v="266"/>
    </i>
  </rowItems>
  <colItems count="1">
    <i/>
  </colItems>
  <dataFields count="1">
    <dataField name="Away From Target % " fld="11" baseField="1" baseItem="26"/>
  </dataFields>
  <formats count="24">
    <format dxfId="45">
      <pivotArea outline="0" collapsedLevelsAreSubtotals="1" fieldPosition="0"/>
    </format>
    <format dxfId="44">
      <pivotArea dataOnly="0" labelOnly="1" outline="0" axis="axisValues" fieldPosition="0"/>
    </format>
    <format dxfId="43">
      <pivotArea type="all" dataOnly="0" outline="0" fieldPosition="0"/>
    </format>
    <format dxfId="42">
      <pivotArea outline="0" collapsedLevelsAreSubtotals="1" fieldPosition="0"/>
    </format>
    <format dxfId="41">
      <pivotArea field="1" type="button" dataOnly="0" labelOnly="1" outline="0" axis="axisRow" fieldPosition="0"/>
    </format>
    <format dxfId="40">
      <pivotArea dataOnly="0" labelOnly="1" outline="0" axis="axisValues" fieldPosition="0"/>
    </format>
    <format dxfId="39">
      <pivotArea dataOnly="0" labelOnly="1" fieldPosition="0">
        <references count="1">
          <reference field="1" count="5">
            <x v="189"/>
            <x v="205"/>
            <x v="230"/>
            <x v="246"/>
            <x v="254"/>
          </reference>
        </references>
      </pivotArea>
    </format>
    <format dxfId="38">
      <pivotArea dataOnly="0" labelOnly="1" grandRow="1" outline="0" fieldPosition="0"/>
    </format>
    <format dxfId="37">
      <pivotArea type="all" dataOnly="0" outline="0" fieldPosition="0"/>
    </format>
    <format dxfId="36">
      <pivotArea outline="0" collapsedLevelsAreSubtotals="1" fieldPosition="0"/>
    </format>
    <format dxfId="35">
      <pivotArea field="1" type="button" dataOnly="0" labelOnly="1" outline="0" axis="axisRow" fieldPosition="0"/>
    </format>
    <format dxfId="34">
      <pivotArea dataOnly="0" labelOnly="1" fieldPosition="0">
        <references count="1">
          <reference field="1" count="5">
            <x v="26"/>
            <x v="203"/>
            <x v="205"/>
            <x v="207"/>
            <x v="210"/>
          </reference>
        </references>
      </pivotArea>
    </format>
    <format dxfId="33">
      <pivotArea dataOnly="0" labelOnly="1" outline="0" axis="axisValues" fieldPosition="0"/>
    </format>
    <format dxfId="32">
      <pivotArea dataOnly="0" labelOnly="1" outline="0" axis="axisValues" fieldPosition="0"/>
    </format>
    <format dxfId="31">
      <pivotArea type="all" dataOnly="0" outline="0" fieldPosition="0"/>
    </format>
    <format dxfId="30">
      <pivotArea outline="0" collapsedLevelsAreSubtotals="1" fieldPosition="0"/>
    </format>
    <format dxfId="29">
      <pivotArea field="1" type="button" dataOnly="0" labelOnly="1" outline="0" axis="axisRow" fieldPosition="0"/>
    </format>
    <format dxfId="28">
      <pivotArea dataOnly="0" labelOnly="1" fieldPosition="0">
        <references count="1">
          <reference field="1" count="5">
            <x v="26"/>
            <x v="203"/>
            <x v="205"/>
            <x v="207"/>
            <x v="210"/>
          </reference>
        </references>
      </pivotArea>
    </format>
    <format dxfId="27">
      <pivotArea dataOnly="0" labelOnly="1" outline="0" axis="axisValues" fieldPosition="0"/>
    </format>
    <format dxfId="26">
      <pivotArea type="all" dataOnly="0" outline="0" fieldPosition="0"/>
    </format>
    <format dxfId="25">
      <pivotArea outline="0" collapsedLevelsAreSubtotals="1" fieldPosition="0"/>
    </format>
    <format dxfId="24">
      <pivotArea field="1" type="button" dataOnly="0" labelOnly="1" outline="0" axis="axisRow" fieldPosition="0"/>
    </format>
    <format dxfId="23">
      <pivotArea dataOnly="0" labelOnly="1" outline="0" axis="axisValues" fieldPosition="0"/>
    </format>
    <format dxfId="22">
      <pivotArea dataOnly="0" labelOnly="1" fieldPosition="0">
        <references count="1">
          <reference field="1" count="5">
            <x v="19"/>
            <x v="168"/>
            <x v="225"/>
            <x v="233"/>
            <x v="241"/>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Light11" showRowHeaders="1" showColHeaders="1" showRowStripes="0" showColStripes="0" showLastColumn="1"/>
  <filters count="1">
    <filter fld="1" type="count" evalOrder="-1" id="9"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1100-000002000000}" name="PivotTable4" cacheId="0" applyNumberFormats="0" applyBorderFormats="0" applyFontFormats="0" applyPatternFormats="0" applyAlignmentFormats="0" applyWidthHeightFormats="1" dataCaption="Values" updatedVersion="7" minRefreshableVersion="3" useAutoFormatting="1" rowGrandTotals="0" colGrandTotals="0" itemPrintTitles="1" createdVersion="6" indent="0" outline="1" outlineData="1" multipleFieldFilters="0" chartFormat="6" rowHeaderCaption="Sales Executive">
  <location ref="H9:I14" firstHeaderRow="1" firstDataRow="1" firstDataCol="1"/>
  <pivotFields count="12">
    <pivotField showAll="0"/>
    <pivotField axis="axisRow" showAll="0" measureFilter="1">
      <items count="275">
        <item x="140"/>
        <item x="139"/>
        <item x="138"/>
        <item x="137"/>
        <item x="136"/>
        <item x="135"/>
        <item x="134"/>
        <item x="133"/>
        <item x="132"/>
        <item x="131"/>
        <item x="130"/>
        <item x="129"/>
        <item x="128"/>
        <item x="4"/>
        <item x="127"/>
        <item x="2"/>
        <item x="126"/>
        <item x="125"/>
        <item x="124"/>
        <item x="123"/>
        <item x="122"/>
        <item x="121"/>
        <item x="120"/>
        <item x="119"/>
        <item x="118"/>
        <item x="117"/>
        <item x="116"/>
        <item f="1" x="141"/>
        <item f="1" x="150"/>
        <item f="1" x="240"/>
        <item f="1" x="241"/>
        <item f="1" x="242"/>
        <item f="1" x="243"/>
        <item f="1" x="244"/>
        <item f="1" x="245"/>
        <item f="1" x="246"/>
        <item f="1" x="247"/>
        <item f="1" x="248"/>
        <item f="1" x="249"/>
        <item f="1" x="151"/>
        <item f="1" x="250"/>
        <item f="1" x="251"/>
        <item f="1" x="252"/>
        <item f="1" x="253"/>
        <item f="1" x="254"/>
        <item f="1" x="255"/>
        <item f="1" x="256"/>
        <item f="1" x="257"/>
        <item f="1" x="258"/>
        <item f="1" x="259"/>
        <item f="1" x="152"/>
        <item f="1" x="260"/>
        <item f="1" x="261"/>
        <item f="1" x="262"/>
        <item f="1" x="263"/>
        <item f="1" x="264"/>
        <item f="1" x="265"/>
        <item f="1" x="266"/>
        <item f="1" x="267"/>
        <item f="1" x="268"/>
        <item f="1" x="269"/>
        <item f="1" x="153"/>
        <item f="1" x="270"/>
        <item f="1" x="271"/>
        <item f="1" x="272"/>
        <item f="1" x="273"/>
        <item f="1" x="154"/>
        <item f="1" x="155"/>
        <item f="1" x="156"/>
        <item f="1" x="157"/>
        <item f="1" x="158"/>
        <item f="1" x="159"/>
        <item f="1" x="142"/>
        <item f="1" x="160"/>
        <item f="1" x="161"/>
        <item f="1" x="162"/>
        <item f="1" x="163"/>
        <item f="1" x="164"/>
        <item f="1" x="165"/>
        <item f="1" x="166"/>
        <item f="1" x="167"/>
        <item f="1" x="168"/>
        <item f="1" x="169"/>
        <item f="1" x="143"/>
        <item f="1" x="170"/>
        <item f="1" x="171"/>
        <item f="1" x="172"/>
        <item f="1" x="173"/>
        <item f="1" x="174"/>
        <item f="1" x="175"/>
        <item f="1" x="176"/>
        <item f="1" x="177"/>
        <item f="1" x="178"/>
        <item f="1" x="179"/>
        <item f="1" x="144"/>
        <item f="1" x="180"/>
        <item f="1" x="181"/>
        <item f="1" x="182"/>
        <item f="1" x="183"/>
        <item f="1" x="184"/>
        <item f="1" x="185"/>
        <item f="1" x="186"/>
        <item f="1" x="187"/>
        <item f="1" x="188"/>
        <item f="1" x="189"/>
        <item f="1" x="145"/>
        <item f="1" x="190"/>
        <item f="1" x="191"/>
        <item f="1" x="192"/>
        <item f="1" x="193"/>
        <item f="1" x="194"/>
        <item f="1" x="195"/>
        <item f="1" x="196"/>
        <item f="1" x="197"/>
        <item f="1" x="198"/>
        <item f="1" x="199"/>
        <item f="1" x="146"/>
        <item f="1" x="200"/>
        <item f="1" x="201"/>
        <item f="1" x="202"/>
        <item f="1" x="203"/>
        <item f="1" x="204"/>
        <item f="1" x="205"/>
        <item f="1" x="206"/>
        <item f="1" x="207"/>
        <item f="1" x="208"/>
        <item f="1" x="209"/>
        <item f="1" x="147"/>
        <item f="1" x="210"/>
        <item f="1" x="211"/>
        <item f="1" x="212"/>
        <item f="1" x="213"/>
        <item f="1" x="214"/>
        <item f="1" x="215"/>
        <item f="1" x="216"/>
        <item f="1" x="217"/>
        <item f="1" x="218"/>
        <item f="1" x="219"/>
        <item f="1" x="148"/>
        <item f="1" x="220"/>
        <item f="1" x="221"/>
        <item f="1" x="222"/>
        <item f="1" x="223"/>
        <item f="1" x="224"/>
        <item f="1" x="225"/>
        <item f="1" x="226"/>
        <item f="1" x="227"/>
        <item f="1" x="228"/>
        <item f="1" x="229"/>
        <item f="1" x="149"/>
        <item f="1" x="230"/>
        <item f="1" x="231"/>
        <item f="1" x="232"/>
        <item f="1" x="233"/>
        <item f="1" x="234"/>
        <item f="1" x="235"/>
        <item f="1" x="236"/>
        <item f="1" x="237"/>
        <item f="1" x="238"/>
        <item f="1" x="239"/>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items count="2">
        <item x="0"/>
        <item t="default"/>
      </items>
    </pivotField>
    <pivotField dataField="1" numFmtId="10" showAll="0"/>
    <pivotField numFmtId="10" showAll="0"/>
  </pivotFields>
  <rowFields count="1">
    <field x="1"/>
  </rowFields>
  <rowItems count="5">
    <i>
      <x v="10"/>
    </i>
    <i>
      <x v="15"/>
    </i>
    <i>
      <x v="169"/>
    </i>
    <i>
      <x v="209"/>
    </i>
    <i>
      <x v="250"/>
    </i>
  </rowItems>
  <colItems count="1">
    <i/>
  </colItems>
  <dataFields count="1">
    <dataField name="Target Hit % " fld="10" baseField="1" baseItem="3" numFmtId="10"/>
  </dataFields>
  <formats count="24">
    <format dxfId="69">
      <pivotArea outline="0" collapsedLevelsAreSubtotals="1" fieldPosition="0"/>
    </format>
    <format dxfId="68">
      <pivotArea dataOnly="0" labelOnly="1" outline="0" axis="axisValues" fieldPosition="0"/>
    </format>
    <format dxfId="67">
      <pivotArea type="all" dataOnly="0" outline="0" fieldPosition="0"/>
    </format>
    <format dxfId="66">
      <pivotArea outline="0" collapsedLevelsAreSubtotals="1" fieldPosition="0"/>
    </format>
    <format dxfId="65">
      <pivotArea field="1" type="button" dataOnly="0" labelOnly="1" outline="0" axis="axisRow" fieldPosition="0"/>
    </format>
    <format dxfId="64">
      <pivotArea dataOnly="0" labelOnly="1" outline="0" axis="axisValues" fieldPosition="0"/>
    </format>
    <format dxfId="63">
      <pivotArea dataOnly="0" labelOnly="1" fieldPosition="0">
        <references count="1">
          <reference field="1" count="5">
            <x v="16"/>
            <x v="165"/>
            <x v="197"/>
            <x v="262"/>
            <x v="270"/>
          </reference>
        </references>
      </pivotArea>
    </format>
    <format dxfId="62">
      <pivotArea dataOnly="0" labelOnly="1" grandRow="1" outline="0" fieldPosition="0"/>
    </format>
    <format dxfId="61">
      <pivotArea type="all" dataOnly="0" outline="0" fieldPosition="0"/>
    </format>
    <format dxfId="60">
      <pivotArea outline="0" collapsedLevelsAreSubtotals="1" fieldPosition="0"/>
    </format>
    <format dxfId="59">
      <pivotArea field="1" type="button" dataOnly="0" labelOnly="1" outline="0" axis="axisRow" fieldPosition="0"/>
    </format>
    <format dxfId="58">
      <pivotArea dataOnly="0" labelOnly="1" fieldPosition="0">
        <references count="1">
          <reference field="1" count="5">
            <x v="3"/>
            <x v="15"/>
            <x v="164"/>
            <x v="192"/>
            <x v="212"/>
          </reference>
        </references>
      </pivotArea>
    </format>
    <format dxfId="57">
      <pivotArea dataOnly="0" labelOnly="1" outline="0" axis="axisValues" fieldPosition="0"/>
    </format>
    <format dxfId="56">
      <pivotArea dataOnly="0" labelOnly="1" outline="0" axis="axisValues" fieldPosition="0"/>
    </format>
    <format dxfId="55">
      <pivotArea type="all" dataOnly="0" outline="0" fieldPosition="0"/>
    </format>
    <format dxfId="54">
      <pivotArea outline="0" collapsedLevelsAreSubtotals="1" fieldPosition="0"/>
    </format>
    <format dxfId="53">
      <pivotArea field="1" type="button" dataOnly="0" labelOnly="1" outline="0" axis="axisRow" fieldPosition="0"/>
    </format>
    <format dxfId="52">
      <pivotArea dataOnly="0" labelOnly="1" fieldPosition="0">
        <references count="1">
          <reference field="1" count="5">
            <x v="3"/>
            <x v="15"/>
            <x v="164"/>
            <x v="192"/>
            <x v="212"/>
          </reference>
        </references>
      </pivotArea>
    </format>
    <format dxfId="51">
      <pivotArea dataOnly="0" labelOnly="1" outline="0" axis="axisValues" fieldPosition="0"/>
    </format>
    <format dxfId="50">
      <pivotArea type="all" dataOnly="0" outline="0" fieldPosition="0"/>
    </format>
    <format dxfId="49">
      <pivotArea outline="0" collapsedLevelsAreSubtotals="1" fieldPosition="0"/>
    </format>
    <format dxfId="48">
      <pivotArea field="1" type="button" dataOnly="0" labelOnly="1" outline="0" axis="axisRow" fieldPosition="0"/>
    </format>
    <format dxfId="47">
      <pivotArea dataOnly="0" labelOnly="1" outline="0" axis="axisValues" fieldPosition="0"/>
    </format>
    <format dxfId="46">
      <pivotArea dataOnly="0" labelOnly="1" fieldPosition="0">
        <references count="1">
          <reference field="1" count="5">
            <x v="1"/>
            <x v="176"/>
            <x v="192"/>
            <x v="249"/>
            <x v="265"/>
          </reference>
        </references>
      </pivotArea>
    </format>
  </formats>
  <chartFormats count="1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12"/>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15"/>
          </reference>
        </references>
      </pivotArea>
    </chartFormat>
    <chartFormat chart="0" format="4">
      <pivotArea type="data" outline="0" fieldPosition="0">
        <references count="2">
          <reference field="4294967294" count="1" selected="0">
            <x v="0"/>
          </reference>
          <reference field="1" count="1" selected="0">
            <x v="164"/>
          </reference>
        </references>
      </pivotArea>
    </chartFormat>
    <chartFormat chart="0" format="5">
      <pivotArea type="data" outline="0" fieldPosition="0">
        <references count="2">
          <reference field="4294967294" count="1" selected="0">
            <x v="0"/>
          </reference>
          <reference field="1" count="1" selected="0">
            <x v="192"/>
          </reference>
        </references>
      </pivotArea>
    </chartFormat>
    <chartFormat chart="0" format="6">
      <pivotArea type="data" outline="0" fieldPosition="0">
        <references count="2">
          <reference field="4294967294" count="1" selected="0">
            <x v="0"/>
          </reference>
          <reference field="1" count="1" selected="0">
            <x v="16"/>
          </reference>
        </references>
      </pivotArea>
    </chartFormat>
    <chartFormat chart="0" format="7">
      <pivotArea type="data" outline="0" fieldPosition="0">
        <references count="2">
          <reference field="4294967294" count="1" selected="0">
            <x v="0"/>
          </reference>
          <reference field="1" count="1" selected="0">
            <x v="165"/>
          </reference>
        </references>
      </pivotArea>
    </chartFormat>
    <chartFormat chart="0" format="8">
      <pivotArea type="data" outline="0" fieldPosition="0">
        <references count="2">
          <reference field="4294967294" count="1" selected="0">
            <x v="0"/>
          </reference>
          <reference field="1" count="1" selected="0">
            <x v="197"/>
          </reference>
        </references>
      </pivotArea>
    </chartFormat>
    <chartFormat chart="0" format="9">
      <pivotArea type="data" outline="0" fieldPosition="0">
        <references count="2">
          <reference field="4294967294" count="1" selected="0">
            <x v="0"/>
          </reference>
          <reference field="1" count="1" selected="0">
            <x v="262"/>
          </reference>
        </references>
      </pivotArea>
    </chartFormat>
    <chartFormat chart="0" format="10">
      <pivotArea type="data" outline="0" fieldPosition="0">
        <references count="2">
          <reference field="4294967294" count="1" selected="0">
            <x v="0"/>
          </reference>
          <reference field="1" count="1" selected="0">
            <x v="270"/>
          </reference>
        </references>
      </pivotArea>
    </chartFormat>
    <chartFormat chart="0" format="11">
      <pivotArea type="data" outline="0" fieldPosition="0">
        <references count="2">
          <reference field="4294967294" count="1" selected="0">
            <x v="0"/>
          </reference>
          <reference field="1" count="1" selected="0">
            <x v="5"/>
          </reference>
        </references>
      </pivotArea>
    </chartFormat>
    <chartFormat chart="0" format="12">
      <pivotArea type="data" outline="0" fieldPosition="0">
        <references count="2">
          <reference field="4294967294" count="1" selected="0">
            <x v="0"/>
          </reference>
          <reference field="1" count="1" selected="0">
            <x v="23"/>
          </reference>
        </references>
      </pivotArea>
    </chartFormat>
    <chartFormat chart="0" format="13">
      <pivotArea type="data" outline="0" fieldPosition="0">
        <references count="2">
          <reference field="4294967294" count="1" selected="0">
            <x v="0"/>
          </reference>
          <reference field="1" count="1" selected="0">
            <x v="196"/>
          </reference>
        </references>
      </pivotArea>
    </chartFormat>
    <chartFormat chart="0" format="14">
      <pivotArea type="data" outline="0" fieldPosition="0">
        <references count="2">
          <reference field="4294967294" count="1" selected="0">
            <x v="0"/>
          </reference>
          <reference field="1" count="1" selected="0">
            <x v="166"/>
          </reference>
        </references>
      </pivotArea>
    </chartFormat>
    <chartFormat chart="0" format="15">
      <pivotArea type="data" outline="0" fieldPosition="0">
        <references count="2">
          <reference field="4294967294" count="1" selected="0">
            <x v="0"/>
          </reference>
          <reference field="1" count="1" selected="0">
            <x v="265"/>
          </reference>
        </references>
      </pivotArea>
    </chartFormat>
  </chartFormats>
  <pivotTableStyleInfo name="PivotStyleLight11"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1100-000001000000}" name="PivotTable3" cacheId="0" applyNumberFormats="0" applyBorderFormats="0" applyFontFormats="0" applyPatternFormats="0" applyAlignmentFormats="0" applyWidthHeightFormats="1" dataCaption="Values" updatedVersion="7" minRefreshableVersion="3" preserveFormatting="0" rowGrandTotals="0" colGrandTotals="0" itemPrintTitles="1" createdVersion="6" indent="0" outline="1" outlineData="1" multipleFieldFilters="0">
  <location ref="E9:F14" firstHeaderRow="1" firstDataRow="1" firstDataCol="1"/>
  <pivotFields count="12">
    <pivotField showAll="0"/>
    <pivotField axis="axisRow" showAll="0" measureFilter="1">
      <items count="275">
        <item x="140"/>
        <item x="139"/>
        <item x="138"/>
        <item x="137"/>
        <item x="136"/>
        <item x="135"/>
        <item x="134"/>
        <item x="133"/>
        <item x="132"/>
        <item x="131"/>
        <item x="130"/>
        <item x="129"/>
        <item x="128"/>
        <item x="4"/>
        <item x="127"/>
        <item x="2"/>
        <item x="126"/>
        <item x="125"/>
        <item x="124"/>
        <item x="123"/>
        <item x="122"/>
        <item x="121"/>
        <item x="120"/>
        <item x="119"/>
        <item x="118"/>
        <item x="117"/>
        <item x="116"/>
        <item f="1" x="141"/>
        <item f="1" x="150"/>
        <item f="1" x="240"/>
        <item f="1" x="241"/>
        <item f="1" x="242"/>
        <item f="1" x="243"/>
        <item f="1" x="244"/>
        <item f="1" x="245"/>
        <item f="1" x="246"/>
        <item f="1" x="247"/>
        <item f="1" x="248"/>
        <item f="1" x="249"/>
        <item f="1" x="151"/>
        <item f="1" x="250"/>
        <item f="1" x="251"/>
        <item f="1" x="252"/>
        <item f="1" x="253"/>
        <item f="1" x="254"/>
        <item f="1" x="255"/>
        <item f="1" x="256"/>
        <item f="1" x="257"/>
        <item f="1" x="258"/>
        <item f="1" x="259"/>
        <item f="1" x="152"/>
        <item f="1" x="260"/>
        <item f="1" x="261"/>
        <item f="1" x="262"/>
        <item f="1" x="263"/>
        <item f="1" x="264"/>
        <item f="1" x="265"/>
        <item f="1" x="266"/>
        <item f="1" x="267"/>
        <item f="1" x="268"/>
        <item f="1" x="269"/>
        <item f="1" x="153"/>
        <item f="1" x="270"/>
        <item f="1" x="271"/>
        <item f="1" x="272"/>
        <item f="1" x="273"/>
        <item f="1" x="154"/>
        <item f="1" x="155"/>
        <item f="1" x="156"/>
        <item f="1" x="157"/>
        <item f="1" x="158"/>
        <item f="1" x="159"/>
        <item f="1" x="142"/>
        <item f="1" x="160"/>
        <item f="1" x="161"/>
        <item f="1" x="162"/>
        <item f="1" x="163"/>
        <item f="1" x="164"/>
        <item f="1" x="165"/>
        <item f="1" x="166"/>
        <item f="1" x="167"/>
        <item f="1" x="168"/>
        <item f="1" x="169"/>
        <item f="1" x="143"/>
        <item f="1" x="170"/>
        <item f="1" x="171"/>
        <item f="1" x="172"/>
        <item f="1" x="173"/>
        <item f="1" x="174"/>
        <item f="1" x="175"/>
        <item f="1" x="176"/>
        <item f="1" x="177"/>
        <item f="1" x="178"/>
        <item f="1" x="179"/>
        <item f="1" x="144"/>
        <item f="1" x="180"/>
        <item f="1" x="181"/>
        <item f="1" x="182"/>
        <item f="1" x="183"/>
        <item f="1" x="184"/>
        <item f="1" x="185"/>
        <item f="1" x="186"/>
        <item f="1" x="187"/>
        <item f="1" x="188"/>
        <item f="1" x="189"/>
        <item f="1" x="145"/>
        <item f="1" x="190"/>
        <item f="1" x="191"/>
        <item f="1" x="192"/>
        <item f="1" x="193"/>
        <item f="1" x="194"/>
        <item f="1" x="195"/>
        <item f="1" x="196"/>
        <item f="1" x="197"/>
        <item f="1" x="198"/>
        <item f="1" x="199"/>
        <item f="1" x="146"/>
        <item f="1" x="200"/>
        <item f="1" x="201"/>
        <item f="1" x="202"/>
        <item f="1" x="203"/>
        <item f="1" x="204"/>
        <item f="1" x="205"/>
        <item f="1" x="206"/>
        <item f="1" x="207"/>
        <item f="1" x="208"/>
        <item f="1" x="209"/>
        <item f="1" x="147"/>
        <item f="1" x="210"/>
        <item f="1" x="211"/>
        <item f="1" x="212"/>
        <item f="1" x="213"/>
        <item f="1" x="214"/>
        <item f="1" x="215"/>
        <item f="1" x="216"/>
        <item f="1" x="217"/>
        <item f="1" x="218"/>
        <item f="1" x="219"/>
        <item f="1" x="148"/>
        <item f="1" x="220"/>
        <item f="1" x="221"/>
        <item f="1" x="222"/>
        <item f="1" x="223"/>
        <item f="1" x="224"/>
        <item f="1" x="225"/>
        <item f="1" x="226"/>
        <item f="1" x="227"/>
        <item f="1" x="228"/>
        <item f="1" x="229"/>
        <item f="1" x="149"/>
        <item f="1" x="230"/>
        <item f="1" x="231"/>
        <item f="1" x="232"/>
        <item f="1" x="233"/>
        <item f="1" x="234"/>
        <item f="1" x="235"/>
        <item f="1" x="236"/>
        <item f="1" x="237"/>
        <item f="1" x="238"/>
        <item f="1" x="239"/>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169"/>
    </i>
    <i>
      <x v="209"/>
    </i>
    <i>
      <x v="250"/>
    </i>
  </rowItems>
  <colItems count="1">
    <i/>
  </colItems>
  <dataFields count="1">
    <dataField name="Sum of Total Sales" fld="8" baseField="0" baseItem="0"/>
  </dataFields>
  <pivotTableStyleInfo name="PivotStyleLight11"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0000000-0013-0000-FFFF-FFFF01000000}" sourceName="Region">
  <pivotTables>
    <pivotTable tabId="21" name="PivotTable5"/>
    <pivotTable tabId="21" name="PivotTable4"/>
    <pivotTable tabId="21" name="PivotTable3"/>
  </pivotTables>
  <data>
    <tabular pivotCacheId="689885742">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0000000-0014-0000-FFFF-FFFF01000000}" cache="Slicer_Region" caption="Region" columnCount="8" showCaption="0" style="SlicerStyleLight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L142"/>
  <sheetViews>
    <sheetView workbookViewId="0">
      <selection activeCell="C42" sqref="C42"/>
    </sheetView>
  </sheetViews>
  <sheetFormatPr defaultRowHeight="14.25" x14ac:dyDescent="0.2"/>
  <cols>
    <col min="1" max="1" width="10.25" bestFit="1" customWidth="1"/>
    <col min="2" max="2" width="19.125" bestFit="1" customWidth="1"/>
    <col min="3" max="3" width="7.625" bestFit="1" customWidth="1"/>
    <col min="4" max="8" width="4.5" bestFit="1" customWidth="1"/>
    <col min="9" max="9" width="8.375" bestFit="1" customWidth="1"/>
    <col min="10" max="10" width="5.375" bestFit="1" customWidth="1"/>
    <col min="11" max="11" width="9.5" bestFit="1" customWidth="1"/>
    <col min="12" max="12" width="15.5" bestFit="1" customWidth="1"/>
  </cols>
  <sheetData>
    <row r="1" spans="1:12" x14ac:dyDescent="0.2">
      <c r="A1" s="1" t="s">
        <v>7</v>
      </c>
      <c r="B1" s="1" t="s">
        <v>8</v>
      </c>
      <c r="C1" s="1" t="s">
        <v>0</v>
      </c>
      <c r="D1" s="1" t="s">
        <v>9</v>
      </c>
      <c r="E1" s="1" t="s">
        <v>10</v>
      </c>
      <c r="F1" s="1" t="s">
        <v>11</v>
      </c>
      <c r="G1" s="1" t="s">
        <v>12</v>
      </c>
      <c r="H1" s="1" t="s">
        <v>13</v>
      </c>
      <c r="I1" s="1" t="s">
        <v>14</v>
      </c>
      <c r="J1" s="1" t="s">
        <v>15</v>
      </c>
      <c r="K1" s="1" t="s">
        <v>16</v>
      </c>
      <c r="L1" s="1" t="s">
        <v>17</v>
      </c>
    </row>
    <row r="2" spans="1:12" x14ac:dyDescent="0.2">
      <c r="A2" s="2" t="s">
        <v>18</v>
      </c>
      <c r="B2" s="3" t="s">
        <v>19</v>
      </c>
      <c r="C2" s="3" t="s">
        <v>1</v>
      </c>
      <c r="D2" s="4">
        <v>49</v>
      </c>
      <c r="E2" s="4">
        <v>84</v>
      </c>
      <c r="F2" s="4">
        <v>98</v>
      </c>
      <c r="G2" s="4">
        <v>67</v>
      </c>
      <c r="H2" s="4">
        <v>41</v>
      </c>
      <c r="I2" s="5">
        <f>SUM(D2:H2)</f>
        <v>339</v>
      </c>
      <c r="J2" s="5">
        <v>500</v>
      </c>
      <c r="K2" s="6">
        <f>I2/J2</f>
        <v>0.67800000000000005</v>
      </c>
      <c r="L2" s="7">
        <f>100%-K2</f>
        <v>0.32199999999999995</v>
      </c>
    </row>
    <row r="3" spans="1:12" x14ac:dyDescent="0.2">
      <c r="A3" s="2" t="s">
        <v>20</v>
      </c>
      <c r="B3" s="3" t="s">
        <v>21</v>
      </c>
      <c r="C3" s="3" t="s">
        <v>3</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
      <c r="A4" s="2" t="s">
        <v>22</v>
      </c>
      <c r="B4" s="3" t="s">
        <v>23</v>
      </c>
      <c r="C4" s="3" t="s">
        <v>4</v>
      </c>
      <c r="D4" s="4">
        <v>45</v>
      </c>
      <c r="E4" s="4">
        <v>79</v>
      </c>
      <c r="F4" s="4">
        <v>88</v>
      </c>
      <c r="G4" s="4">
        <v>73</v>
      </c>
      <c r="H4" s="4">
        <v>94</v>
      </c>
      <c r="I4" s="5">
        <f t="shared" si="0"/>
        <v>379</v>
      </c>
      <c r="J4" s="5">
        <v>500</v>
      </c>
      <c r="K4" s="6">
        <f t="shared" si="1"/>
        <v>0.75800000000000001</v>
      </c>
      <c r="L4" s="7">
        <f t="shared" si="2"/>
        <v>0.24199999999999999</v>
      </c>
    </row>
    <row r="5" spans="1:12" x14ac:dyDescent="0.2">
      <c r="A5" s="2" t="s">
        <v>24</v>
      </c>
      <c r="B5" s="3" t="s">
        <v>25</v>
      </c>
      <c r="C5" s="3" t="s">
        <v>2</v>
      </c>
      <c r="D5" s="4">
        <v>52</v>
      </c>
      <c r="E5" s="4">
        <v>99</v>
      </c>
      <c r="F5" s="4">
        <v>13</v>
      </c>
      <c r="G5" s="4">
        <v>95</v>
      </c>
      <c r="H5" s="4">
        <v>29</v>
      </c>
      <c r="I5" s="5">
        <f t="shared" si="0"/>
        <v>288</v>
      </c>
      <c r="J5" s="5">
        <v>500</v>
      </c>
      <c r="K5" s="6">
        <f t="shared" si="1"/>
        <v>0.57599999999999996</v>
      </c>
      <c r="L5" s="7">
        <f t="shared" si="2"/>
        <v>0.42400000000000004</v>
      </c>
    </row>
    <row r="6" spans="1:12" x14ac:dyDescent="0.2">
      <c r="A6" s="2" t="s">
        <v>26</v>
      </c>
      <c r="B6" s="3" t="s">
        <v>27</v>
      </c>
      <c r="C6" s="3" t="s">
        <v>5</v>
      </c>
      <c r="D6" s="4">
        <v>35</v>
      </c>
      <c r="E6" s="4">
        <v>54</v>
      </c>
      <c r="F6" s="4">
        <v>49</v>
      </c>
      <c r="G6" s="4">
        <v>26</v>
      </c>
      <c r="H6" s="4">
        <v>49</v>
      </c>
      <c r="I6" s="5">
        <f t="shared" si="0"/>
        <v>213</v>
      </c>
      <c r="J6" s="5">
        <v>500</v>
      </c>
      <c r="K6" s="6">
        <f t="shared" si="1"/>
        <v>0.42599999999999999</v>
      </c>
      <c r="L6" s="7">
        <f t="shared" si="2"/>
        <v>0.57400000000000007</v>
      </c>
    </row>
    <row r="7" spans="1:12" x14ac:dyDescent="0.2">
      <c r="A7" s="2" t="s">
        <v>28</v>
      </c>
      <c r="B7" s="3" t="s">
        <v>29</v>
      </c>
      <c r="C7" s="3" t="s">
        <v>30</v>
      </c>
      <c r="D7" s="4">
        <v>86</v>
      </c>
      <c r="E7" s="4">
        <v>31</v>
      </c>
      <c r="F7" s="4">
        <v>23</v>
      </c>
      <c r="G7" s="4">
        <v>48</v>
      </c>
      <c r="H7" s="4">
        <v>77</v>
      </c>
      <c r="I7" s="5">
        <f t="shared" si="0"/>
        <v>265</v>
      </c>
      <c r="J7" s="5">
        <v>500</v>
      </c>
      <c r="K7" s="6">
        <f t="shared" si="1"/>
        <v>0.53</v>
      </c>
      <c r="L7" s="7">
        <f t="shared" si="2"/>
        <v>0.47</v>
      </c>
    </row>
    <row r="8" spans="1:12" x14ac:dyDescent="0.2">
      <c r="A8" s="2" t="s">
        <v>31</v>
      </c>
      <c r="B8" s="3" t="s">
        <v>32</v>
      </c>
      <c r="C8" s="3" t="s">
        <v>33</v>
      </c>
      <c r="D8" s="4">
        <v>84</v>
      </c>
      <c r="E8" s="4">
        <v>28</v>
      </c>
      <c r="F8" s="4">
        <v>98</v>
      </c>
      <c r="G8" s="4">
        <v>80</v>
      </c>
      <c r="H8" s="4">
        <v>79</v>
      </c>
      <c r="I8" s="5">
        <f t="shared" si="0"/>
        <v>369</v>
      </c>
      <c r="J8" s="5">
        <v>500</v>
      </c>
      <c r="K8" s="6">
        <f t="shared" si="1"/>
        <v>0.73799999999999999</v>
      </c>
      <c r="L8" s="7">
        <f t="shared" si="2"/>
        <v>0.26200000000000001</v>
      </c>
    </row>
    <row r="9" spans="1:12" x14ac:dyDescent="0.2">
      <c r="A9" s="2" t="s">
        <v>34</v>
      </c>
      <c r="B9" s="3" t="s">
        <v>35</v>
      </c>
      <c r="C9" s="3" t="s">
        <v>6</v>
      </c>
      <c r="D9" s="4">
        <v>73</v>
      </c>
      <c r="E9" s="4">
        <v>97</v>
      </c>
      <c r="F9" s="4">
        <v>38</v>
      </c>
      <c r="G9" s="4">
        <v>24</v>
      </c>
      <c r="H9" s="4">
        <v>53</v>
      </c>
      <c r="I9" s="5">
        <f t="shared" si="0"/>
        <v>285</v>
      </c>
      <c r="J9" s="5">
        <v>500</v>
      </c>
      <c r="K9" s="6">
        <f t="shared" si="1"/>
        <v>0.56999999999999995</v>
      </c>
      <c r="L9" s="7">
        <f t="shared" si="2"/>
        <v>0.43000000000000005</v>
      </c>
    </row>
    <row r="10" spans="1:12" x14ac:dyDescent="0.2">
      <c r="A10" s="2" t="s">
        <v>36</v>
      </c>
      <c r="B10" s="3" t="s">
        <v>37</v>
      </c>
      <c r="C10" s="3" t="s">
        <v>1</v>
      </c>
      <c r="D10" s="4">
        <v>54</v>
      </c>
      <c r="E10" s="4">
        <v>26</v>
      </c>
      <c r="F10" s="4">
        <v>53</v>
      </c>
      <c r="G10" s="4">
        <v>36</v>
      </c>
      <c r="H10" s="4">
        <v>20</v>
      </c>
      <c r="I10" s="5">
        <f t="shared" si="0"/>
        <v>189</v>
      </c>
      <c r="J10" s="5">
        <v>500</v>
      </c>
      <c r="K10" s="6">
        <f t="shared" si="1"/>
        <v>0.378</v>
      </c>
      <c r="L10" s="7">
        <f t="shared" si="2"/>
        <v>0.622</v>
      </c>
    </row>
    <row r="11" spans="1:12" x14ac:dyDescent="0.2">
      <c r="A11" s="2" t="s">
        <v>38</v>
      </c>
      <c r="B11" s="3" t="s">
        <v>39</v>
      </c>
      <c r="C11" s="3" t="s">
        <v>3</v>
      </c>
      <c r="D11" s="4">
        <v>52</v>
      </c>
      <c r="E11" s="4">
        <v>52</v>
      </c>
      <c r="F11" s="4">
        <v>19</v>
      </c>
      <c r="G11" s="4">
        <v>53</v>
      </c>
      <c r="H11" s="4">
        <v>37</v>
      </c>
      <c r="I11" s="5">
        <f t="shared" si="0"/>
        <v>213</v>
      </c>
      <c r="J11" s="5">
        <v>500</v>
      </c>
      <c r="K11" s="6">
        <f t="shared" si="1"/>
        <v>0.42599999999999999</v>
      </c>
      <c r="L11" s="7">
        <f t="shared" si="2"/>
        <v>0.57400000000000007</v>
      </c>
    </row>
    <row r="12" spans="1:12" x14ac:dyDescent="0.2">
      <c r="A12" s="2" t="s">
        <v>40</v>
      </c>
      <c r="B12" s="3" t="s">
        <v>41</v>
      </c>
      <c r="C12" s="3" t="s">
        <v>4</v>
      </c>
      <c r="D12" s="4">
        <v>63</v>
      </c>
      <c r="E12" s="4">
        <v>17</v>
      </c>
      <c r="F12" s="4">
        <v>40</v>
      </c>
      <c r="G12" s="4">
        <v>48</v>
      </c>
      <c r="H12" s="4">
        <v>51</v>
      </c>
      <c r="I12" s="5">
        <f t="shared" si="0"/>
        <v>219</v>
      </c>
      <c r="J12" s="5">
        <v>500</v>
      </c>
      <c r="K12" s="6">
        <f t="shared" si="1"/>
        <v>0.438</v>
      </c>
      <c r="L12" s="7">
        <f t="shared" si="2"/>
        <v>0.56200000000000006</v>
      </c>
    </row>
    <row r="13" spans="1:12" x14ac:dyDescent="0.2">
      <c r="A13" s="2" t="s">
        <v>42</v>
      </c>
      <c r="B13" s="3" t="s">
        <v>43</v>
      </c>
      <c r="C13" s="3" t="s">
        <v>2</v>
      </c>
      <c r="D13" s="4">
        <v>79</v>
      </c>
      <c r="E13" s="4">
        <v>99</v>
      </c>
      <c r="F13" s="4">
        <v>95</v>
      </c>
      <c r="G13" s="4">
        <v>12</v>
      </c>
      <c r="H13" s="4">
        <v>91</v>
      </c>
      <c r="I13" s="5">
        <f t="shared" si="0"/>
        <v>376</v>
      </c>
      <c r="J13" s="5">
        <v>500</v>
      </c>
      <c r="K13" s="6">
        <f t="shared" si="1"/>
        <v>0.752</v>
      </c>
      <c r="L13" s="7">
        <f t="shared" si="2"/>
        <v>0.248</v>
      </c>
    </row>
    <row r="14" spans="1:12" x14ac:dyDescent="0.2">
      <c r="A14" s="2" t="s">
        <v>44</v>
      </c>
      <c r="B14" s="3" t="s">
        <v>45</v>
      </c>
      <c r="C14" s="3" t="s">
        <v>5</v>
      </c>
      <c r="D14" s="8">
        <v>95</v>
      </c>
      <c r="E14" s="4">
        <v>88</v>
      </c>
      <c r="F14" s="4">
        <v>11</v>
      </c>
      <c r="G14" s="4">
        <v>78</v>
      </c>
      <c r="H14" s="4">
        <v>60</v>
      </c>
      <c r="I14" s="5">
        <f t="shared" si="0"/>
        <v>332</v>
      </c>
      <c r="J14" s="5">
        <v>500</v>
      </c>
      <c r="K14" s="6">
        <f t="shared" si="1"/>
        <v>0.66400000000000003</v>
      </c>
      <c r="L14" s="7">
        <f t="shared" si="2"/>
        <v>0.33599999999999997</v>
      </c>
    </row>
    <row r="15" spans="1:12" x14ac:dyDescent="0.2">
      <c r="A15" s="2" t="s">
        <v>46</v>
      </c>
      <c r="B15" s="3" t="s">
        <v>47</v>
      </c>
      <c r="C15" s="3" t="s">
        <v>30</v>
      </c>
      <c r="D15" s="4">
        <v>83</v>
      </c>
      <c r="E15" s="4">
        <v>77</v>
      </c>
      <c r="F15" s="4">
        <v>66</v>
      </c>
      <c r="G15" s="4">
        <v>22</v>
      </c>
      <c r="H15" s="4">
        <v>40</v>
      </c>
      <c r="I15" s="5">
        <f t="shared" si="0"/>
        <v>288</v>
      </c>
      <c r="J15" s="5">
        <v>500</v>
      </c>
      <c r="K15" s="6">
        <f t="shared" si="1"/>
        <v>0.57599999999999996</v>
      </c>
      <c r="L15" s="7">
        <f t="shared" si="2"/>
        <v>0.42400000000000004</v>
      </c>
    </row>
    <row r="16" spans="1:12" x14ac:dyDescent="0.2">
      <c r="A16" s="2" t="s">
        <v>48</v>
      </c>
      <c r="B16" s="3" t="s">
        <v>49</v>
      </c>
      <c r="C16" s="3" t="s">
        <v>33</v>
      </c>
      <c r="D16" s="4">
        <v>78</v>
      </c>
      <c r="E16" s="4">
        <v>58</v>
      </c>
      <c r="F16" s="4">
        <v>34</v>
      </c>
      <c r="G16" s="4">
        <v>84</v>
      </c>
      <c r="H16" s="4">
        <v>31</v>
      </c>
      <c r="I16" s="5">
        <f t="shared" si="0"/>
        <v>285</v>
      </c>
      <c r="J16" s="5">
        <v>500</v>
      </c>
      <c r="K16" s="6">
        <f t="shared" si="1"/>
        <v>0.56999999999999995</v>
      </c>
      <c r="L16" s="7">
        <f t="shared" si="2"/>
        <v>0.43000000000000005</v>
      </c>
    </row>
    <row r="17" spans="1:12" x14ac:dyDescent="0.2">
      <c r="A17" s="2" t="s">
        <v>50</v>
      </c>
      <c r="B17" s="3" t="s">
        <v>51</v>
      </c>
      <c r="C17" s="3" t="s">
        <v>6</v>
      </c>
      <c r="D17" s="4">
        <v>14</v>
      </c>
      <c r="E17" s="4">
        <v>25</v>
      </c>
      <c r="F17" s="4">
        <v>45</v>
      </c>
      <c r="G17" s="4">
        <v>70</v>
      </c>
      <c r="H17" s="4">
        <v>45</v>
      </c>
      <c r="I17" s="5">
        <f t="shared" si="0"/>
        <v>199</v>
      </c>
      <c r="J17" s="5">
        <v>500</v>
      </c>
      <c r="K17" s="6">
        <f t="shared" si="1"/>
        <v>0.39800000000000002</v>
      </c>
      <c r="L17" s="7">
        <f t="shared" si="2"/>
        <v>0.60199999999999998</v>
      </c>
    </row>
    <row r="18" spans="1:12" x14ac:dyDescent="0.2">
      <c r="A18" s="2" t="s">
        <v>52</v>
      </c>
      <c r="B18" s="3" t="s">
        <v>53</v>
      </c>
      <c r="C18" s="3" t="s">
        <v>1</v>
      </c>
      <c r="D18" s="4">
        <v>37</v>
      </c>
      <c r="E18" s="4">
        <v>69</v>
      </c>
      <c r="F18" s="4">
        <v>96</v>
      </c>
      <c r="G18" s="4">
        <v>66</v>
      </c>
      <c r="H18" s="4">
        <v>38</v>
      </c>
      <c r="I18" s="5">
        <f t="shared" si="0"/>
        <v>306</v>
      </c>
      <c r="J18" s="5">
        <v>500</v>
      </c>
      <c r="K18" s="6">
        <f t="shared" si="1"/>
        <v>0.61199999999999999</v>
      </c>
      <c r="L18" s="7">
        <f t="shared" si="2"/>
        <v>0.38800000000000001</v>
      </c>
    </row>
    <row r="19" spans="1:12" x14ac:dyDescent="0.2">
      <c r="A19" s="2" t="s">
        <v>54</v>
      </c>
      <c r="B19" s="3" t="s">
        <v>55</v>
      </c>
      <c r="C19" s="3" t="s">
        <v>3</v>
      </c>
      <c r="D19" s="4">
        <v>11</v>
      </c>
      <c r="E19" s="4">
        <v>46</v>
      </c>
      <c r="F19" s="4">
        <v>91</v>
      </c>
      <c r="G19" s="4">
        <v>98</v>
      </c>
      <c r="H19" s="4">
        <v>45</v>
      </c>
      <c r="I19" s="5">
        <f t="shared" si="0"/>
        <v>291</v>
      </c>
      <c r="J19" s="5">
        <v>500</v>
      </c>
      <c r="K19" s="6">
        <f t="shared" si="1"/>
        <v>0.58199999999999996</v>
      </c>
      <c r="L19" s="7">
        <f t="shared" si="2"/>
        <v>0.41800000000000004</v>
      </c>
    </row>
    <row r="20" spans="1:12" x14ac:dyDescent="0.2">
      <c r="A20" s="2" t="s">
        <v>56</v>
      </c>
      <c r="B20" s="3" t="s">
        <v>57</v>
      </c>
      <c r="C20" s="3" t="s">
        <v>4</v>
      </c>
      <c r="D20" s="4">
        <v>19</v>
      </c>
      <c r="E20" s="4">
        <v>34</v>
      </c>
      <c r="F20" s="4">
        <v>64</v>
      </c>
      <c r="G20" s="4">
        <v>65</v>
      </c>
      <c r="H20" s="4">
        <v>70</v>
      </c>
      <c r="I20" s="5">
        <f t="shared" si="0"/>
        <v>252</v>
      </c>
      <c r="J20" s="5">
        <v>500</v>
      </c>
      <c r="K20" s="6">
        <f t="shared" si="1"/>
        <v>0.504</v>
      </c>
      <c r="L20" s="7">
        <f t="shared" si="2"/>
        <v>0.496</v>
      </c>
    </row>
    <row r="21" spans="1:12" x14ac:dyDescent="0.2">
      <c r="A21" s="2" t="s">
        <v>58</v>
      </c>
      <c r="B21" s="3" t="s">
        <v>59</v>
      </c>
      <c r="C21" s="3" t="s">
        <v>2</v>
      </c>
      <c r="D21" s="4">
        <v>93</v>
      </c>
      <c r="E21" s="4">
        <v>84</v>
      </c>
      <c r="F21" s="4">
        <v>13</v>
      </c>
      <c r="G21" s="4">
        <v>45</v>
      </c>
      <c r="H21" s="4">
        <v>18</v>
      </c>
      <c r="I21" s="5">
        <f t="shared" si="0"/>
        <v>253</v>
      </c>
      <c r="J21" s="5">
        <v>500</v>
      </c>
      <c r="K21" s="6">
        <f t="shared" si="1"/>
        <v>0.50600000000000001</v>
      </c>
      <c r="L21" s="7">
        <f t="shared" si="2"/>
        <v>0.49399999999999999</v>
      </c>
    </row>
    <row r="22" spans="1:12" x14ac:dyDescent="0.2">
      <c r="A22" s="2" t="s">
        <v>60</v>
      </c>
      <c r="B22" s="3" t="s">
        <v>61</v>
      </c>
      <c r="C22" s="3" t="s">
        <v>5</v>
      </c>
      <c r="D22" s="4">
        <v>68</v>
      </c>
      <c r="E22" s="4">
        <v>73</v>
      </c>
      <c r="F22" s="4">
        <v>97</v>
      </c>
      <c r="G22" s="4">
        <v>76</v>
      </c>
      <c r="H22" s="4">
        <v>53</v>
      </c>
      <c r="I22" s="5">
        <f t="shared" si="0"/>
        <v>367</v>
      </c>
      <c r="J22" s="5">
        <v>500</v>
      </c>
      <c r="K22" s="6">
        <f t="shared" si="1"/>
        <v>0.73399999999999999</v>
      </c>
      <c r="L22" s="7">
        <f t="shared" si="2"/>
        <v>0.26600000000000001</v>
      </c>
    </row>
    <row r="23" spans="1:12" x14ac:dyDescent="0.2">
      <c r="A23" s="2" t="s">
        <v>62</v>
      </c>
      <c r="B23" s="3" t="s">
        <v>63</v>
      </c>
      <c r="C23" s="3" t="s">
        <v>30</v>
      </c>
      <c r="D23" s="4">
        <v>99</v>
      </c>
      <c r="E23" s="4">
        <v>17</v>
      </c>
      <c r="F23" s="4">
        <v>48</v>
      </c>
      <c r="G23" s="4">
        <v>44</v>
      </c>
      <c r="H23" s="4">
        <v>93</v>
      </c>
      <c r="I23" s="5">
        <f t="shared" si="0"/>
        <v>301</v>
      </c>
      <c r="J23" s="5">
        <v>500</v>
      </c>
      <c r="K23" s="6">
        <f t="shared" si="1"/>
        <v>0.60199999999999998</v>
      </c>
      <c r="L23" s="7">
        <f t="shared" si="2"/>
        <v>0.39800000000000002</v>
      </c>
    </row>
    <row r="24" spans="1:12" x14ac:dyDescent="0.2">
      <c r="A24" s="2" t="s">
        <v>64</v>
      </c>
      <c r="B24" s="3" t="s">
        <v>65</v>
      </c>
      <c r="C24" s="3" t="s">
        <v>33</v>
      </c>
      <c r="D24" s="4">
        <v>57</v>
      </c>
      <c r="E24" s="4">
        <v>28</v>
      </c>
      <c r="F24" s="4">
        <v>31</v>
      </c>
      <c r="G24" s="4">
        <v>34</v>
      </c>
      <c r="H24" s="4">
        <v>52</v>
      </c>
      <c r="I24" s="5">
        <f t="shared" si="0"/>
        <v>202</v>
      </c>
      <c r="J24" s="5">
        <v>500</v>
      </c>
      <c r="K24" s="6">
        <f t="shared" si="1"/>
        <v>0.40400000000000003</v>
      </c>
      <c r="L24" s="7">
        <f t="shared" si="2"/>
        <v>0.59599999999999997</v>
      </c>
    </row>
    <row r="25" spans="1:12" x14ac:dyDescent="0.2">
      <c r="A25" s="2" t="s">
        <v>66</v>
      </c>
      <c r="B25" s="3" t="s">
        <v>67</v>
      </c>
      <c r="C25" s="3" t="s">
        <v>6</v>
      </c>
      <c r="D25" s="4">
        <v>40</v>
      </c>
      <c r="E25" s="4">
        <v>22</v>
      </c>
      <c r="F25" s="4">
        <v>18</v>
      </c>
      <c r="G25" s="4">
        <v>11</v>
      </c>
      <c r="H25" s="4">
        <v>92</v>
      </c>
      <c r="I25" s="5">
        <f t="shared" si="0"/>
        <v>183</v>
      </c>
      <c r="J25" s="5">
        <v>500</v>
      </c>
      <c r="K25" s="6">
        <f t="shared" si="1"/>
        <v>0.36599999999999999</v>
      </c>
      <c r="L25" s="7">
        <f t="shared" si="2"/>
        <v>0.63400000000000001</v>
      </c>
    </row>
    <row r="26" spans="1:12" x14ac:dyDescent="0.2">
      <c r="A26" s="2" t="s">
        <v>68</v>
      </c>
      <c r="B26" s="3" t="s">
        <v>69</v>
      </c>
      <c r="C26" s="3" t="s">
        <v>1</v>
      </c>
      <c r="D26" s="4">
        <v>47</v>
      </c>
      <c r="E26" s="4">
        <v>99</v>
      </c>
      <c r="F26" s="4">
        <v>94</v>
      </c>
      <c r="G26" s="4">
        <v>75</v>
      </c>
      <c r="H26" s="4">
        <v>29</v>
      </c>
      <c r="I26" s="5">
        <f t="shared" si="0"/>
        <v>344</v>
      </c>
      <c r="J26" s="5">
        <v>500</v>
      </c>
      <c r="K26" s="6">
        <f t="shared" si="1"/>
        <v>0.68799999999999994</v>
      </c>
      <c r="L26" s="7">
        <f t="shared" si="2"/>
        <v>0.31200000000000006</v>
      </c>
    </row>
    <row r="27" spans="1:12" x14ac:dyDescent="0.2">
      <c r="A27" s="2" t="s">
        <v>70</v>
      </c>
      <c r="B27" s="3" t="s">
        <v>71</v>
      </c>
      <c r="C27" s="3" t="s">
        <v>3</v>
      </c>
      <c r="D27" s="4">
        <v>16</v>
      </c>
      <c r="E27" s="4">
        <v>71</v>
      </c>
      <c r="F27" s="4">
        <v>80</v>
      </c>
      <c r="G27" s="4">
        <v>76</v>
      </c>
      <c r="H27" s="4">
        <v>33</v>
      </c>
      <c r="I27" s="5">
        <f t="shared" si="0"/>
        <v>276</v>
      </c>
      <c r="J27" s="5">
        <v>500</v>
      </c>
      <c r="K27" s="6">
        <f t="shared" si="1"/>
        <v>0.55200000000000005</v>
      </c>
      <c r="L27" s="7">
        <f t="shared" si="2"/>
        <v>0.44799999999999995</v>
      </c>
    </row>
    <row r="28" spans="1:12" x14ac:dyDescent="0.2">
      <c r="A28" s="2" t="s">
        <v>72</v>
      </c>
      <c r="B28" s="3" t="s">
        <v>73</v>
      </c>
      <c r="C28" s="3" t="s">
        <v>4</v>
      </c>
      <c r="D28" s="4">
        <v>72</v>
      </c>
      <c r="E28" s="4">
        <v>87</v>
      </c>
      <c r="F28" s="4">
        <v>92</v>
      </c>
      <c r="G28" s="4">
        <v>72</v>
      </c>
      <c r="H28" s="4">
        <v>34</v>
      </c>
      <c r="I28" s="5">
        <f t="shared" si="0"/>
        <v>357</v>
      </c>
      <c r="J28" s="5">
        <v>500</v>
      </c>
      <c r="K28" s="6">
        <f t="shared" si="1"/>
        <v>0.71399999999999997</v>
      </c>
      <c r="L28" s="7">
        <f t="shared" si="2"/>
        <v>0.28600000000000003</v>
      </c>
    </row>
    <row r="29" spans="1:12" x14ac:dyDescent="0.2">
      <c r="A29" s="2" t="s">
        <v>74</v>
      </c>
      <c r="B29" s="3" t="s">
        <v>75</v>
      </c>
      <c r="C29" s="3" t="s">
        <v>2</v>
      </c>
      <c r="D29" s="4">
        <v>30</v>
      </c>
      <c r="E29" s="4">
        <v>38</v>
      </c>
      <c r="F29" s="4">
        <v>70</v>
      </c>
      <c r="G29" s="4">
        <v>89</v>
      </c>
      <c r="H29" s="4">
        <v>97</v>
      </c>
      <c r="I29" s="5">
        <f t="shared" si="0"/>
        <v>324</v>
      </c>
      <c r="J29" s="5">
        <v>500</v>
      </c>
      <c r="K29" s="6">
        <f t="shared" si="1"/>
        <v>0.64800000000000002</v>
      </c>
      <c r="L29" s="7">
        <f t="shared" si="2"/>
        <v>0.35199999999999998</v>
      </c>
    </row>
    <row r="30" spans="1:12" x14ac:dyDescent="0.2">
      <c r="A30" s="2" t="s">
        <v>76</v>
      </c>
      <c r="B30" s="3" t="s">
        <v>77</v>
      </c>
      <c r="C30" s="3" t="s">
        <v>5</v>
      </c>
      <c r="D30" s="4">
        <v>65</v>
      </c>
      <c r="E30" s="4">
        <v>90</v>
      </c>
      <c r="F30" s="4">
        <v>91</v>
      </c>
      <c r="G30" s="4">
        <v>85</v>
      </c>
      <c r="H30" s="4">
        <v>10</v>
      </c>
      <c r="I30" s="5">
        <f t="shared" si="0"/>
        <v>341</v>
      </c>
      <c r="J30" s="5">
        <v>500</v>
      </c>
      <c r="K30" s="6">
        <f t="shared" si="1"/>
        <v>0.68200000000000005</v>
      </c>
      <c r="L30" s="7">
        <f t="shared" si="2"/>
        <v>0.31799999999999995</v>
      </c>
    </row>
    <row r="31" spans="1:12" x14ac:dyDescent="0.2">
      <c r="A31" s="2" t="s">
        <v>78</v>
      </c>
      <c r="B31" s="3" t="s">
        <v>79</v>
      </c>
      <c r="C31" s="3" t="s">
        <v>30</v>
      </c>
      <c r="D31" s="4">
        <v>83</v>
      </c>
      <c r="E31" s="4">
        <v>46</v>
      </c>
      <c r="F31" s="4">
        <v>99</v>
      </c>
      <c r="G31" s="4">
        <v>36</v>
      </c>
      <c r="H31" s="4">
        <v>89</v>
      </c>
      <c r="I31" s="5">
        <f t="shared" si="0"/>
        <v>353</v>
      </c>
      <c r="J31" s="5">
        <v>500</v>
      </c>
      <c r="K31" s="6">
        <f t="shared" si="1"/>
        <v>0.70599999999999996</v>
      </c>
      <c r="L31" s="7">
        <f t="shared" si="2"/>
        <v>0.29400000000000004</v>
      </c>
    </row>
    <row r="32" spans="1:12" x14ac:dyDescent="0.2">
      <c r="A32" s="2" t="s">
        <v>80</v>
      </c>
      <c r="B32" s="3" t="s">
        <v>81</v>
      </c>
      <c r="C32" s="3" t="s">
        <v>33</v>
      </c>
      <c r="D32" s="4">
        <v>10</v>
      </c>
      <c r="E32" s="4">
        <v>66</v>
      </c>
      <c r="F32" s="4">
        <v>40</v>
      </c>
      <c r="G32" s="4">
        <v>22</v>
      </c>
      <c r="H32" s="4">
        <v>38</v>
      </c>
      <c r="I32" s="5">
        <f t="shared" si="0"/>
        <v>176</v>
      </c>
      <c r="J32" s="5">
        <v>500</v>
      </c>
      <c r="K32" s="6">
        <f t="shared" si="1"/>
        <v>0.35199999999999998</v>
      </c>
      <c r="L32" s="7">
        <f t="shared" si="2"/>
        <v>0.64800000000000002</v>
      </c>
    </row>
    <row r="33" spans="1:12" x14ac:dyDescent="0.2">
      <c r="A33" s="2" t="s">
        <v>82</v>
      </c>
      <c r="B33" s="3" t="s">
        <v>83</v>
      </c>
      <c r="C33" s="3" t="s">
        <v>6</v>
      </c>
      <c r="D33" s="4">
        <v>37</v>
      </c>
      <c r="E33" s="4">
        <v>30</v>
      </c>
      <c r="F33" s="4">
        <v>19</v>
      </c>
      <c r="G33" s="4">
        <v>77</v>
      </c>
      <c r="H33" s="4">
        <v>67</v>
      </c>
      <c r="I33" s="5">
        <f t="shared" si="0"/>
        <v>230</v>
      </c>
      <c r="J33" s="5">
        <v>500</v>
      </c>
      <c r="K33" s="6">
        <f t="shared" si="1"/>
        <v>0.46</v>
      </c>
      <c r="L33" s="7">
        <f t="shared" si="2"/>
        <v>0.54</v>
      </c>
    </row>
    <row r="34" spans="1:12" x14ac:dyDescent="0.2">
      <c r="A34" s="2" t="s">
        <v>84</v>
      </c>
      <c r="B34" s="3" t="s">
        <v>85</v>
      </c>
      <c r="C34" s="3" t="s">
        <v>1</v>
      </c>
      <c r="D34" s="4">
        <v>83</v>
      </c>
      <c r="E34" s="4">
        <v>46</v>
      </c>
      <c r="F34" s="4">
        <v>17</v>
      </c>
      <c r="G34" s="4">
        <v>94</v>
      </c>
      <c r="H34" s="4">
        <v>92</v>
      </c>
      <c r="I34" s="5">
        <f t="shared" si="0"/>
        <v>332</v>
      </c>
      <c r="J34" s="5">
        <v>500</v>
      </c>
      <c r="K34" s="6">
        <f t="shared" si="1"/>
        <v>0.66400000000000003</v>
      </c>
      <c r="L34" s="7">
        <f t="shared" si="2"/>
        <v>0.33599999999999997</v>
      </c>
    </row>
    <row r="35" spans="1:12" x14ac:dyDescent="0.2">
      <c r="A35" s="2" t="s">
        <v>86</v>
      </c>
      <c r="B35" s="3" t="s">
        <v>87</v>
      </c>
      <c r="C35" s="3" t="s">
        <v>3</v>
      </c>
      <c r="D35" s="4">
        <v>84</v>
      </c>
      <c r="E35" s="4">
        <v>59</v>
      </c>
      <c r="F35" s="4">
        <v>41</v>
      </c>
      <c r="G35" s="4">
        <v>17</v>
      </c>
      <c r="H35" s="4">
        <v>22</v>
      </c>
      <c r="I35" s="5">
        <f t="shared" si="0"/>
        <v>223</v>
      </c>
      <c r="J35" s="5">
        <v>500</v>
      </c>
      <c r="K35" s="6">
        <f t="shared" si="1"/>
        <v>0.44600000000000001</v>
      </c>
      <c r="L35" s="7">
        <f t="shared" si="2"/>
        <v>0.55400000000000005</v>
      </c>
    </row>
    <row r="36" spans="1:12" x14ac:dyDescent="0.2">
      <c r="A36" s="2" t="s">
        <v>88</v>
      </c>
      <c r="B36" s="3" t="s">
        <v>89</v>
      </c>
      <c r="C36" s="3" t="s">
        <v>4</v>
      </c>
      <c r="D36" s="4">
        <v>82</v>
      </c>
      <c r="E36" s="4">
        <v>54</v>
      </c>
      <c r="F36" s="4">
        <v>79</v>
      </c>
      <c r="G36" s="4">
        <v>61</v>
      </c>
      <c r="H36" s="4">
        <v>47</v>
      </c>
      <c r="I36" s="5">
        <f t="shared" si="0"/>
        <v>323</v>
      </c>
      <c r="J36" s="5">
        <v>500</v>
      </c>
      <c r="K36" s="6">
        <f t="shared" si="1"/>
        <v>0.64600000000000002</v>
      </c>
      <c r="L36" s="7">
        <f t="shared" si="2"/>
        <v>0.35399999999999998</v>
      </c>
    </row>
    <row r="37" spans="1:12" x14ac:dyDescent="0.2">
      <c r="A37" s="2" t="s">
        <v>90</v>
      </c>
      <c r="B37" s="3" t="s">
        <v>91</v>
      </c>
      <c r="C37" s="3" t="s">
        <v>2</v>
      </c>
      <c r="D37" s="4">
        <v>47</v>
      </c>
      <c r="E37" s="4">
        <v>23</v>
      </c>
      <c r="F37" s="4">
        <v>19</v>
      </c>
      <c r="G37" s="4">
        <v>64</v>
      </c>
      <c r="H37" s="4">
        <v>61</v>
      </c>
      <c r="I37" s="5">
        <f t="shared" si="0"/>
        <v>214</v>
      </c>
      <c r="J37" s="5">
        <v>500</v>
      </c>
      <c r="K37" s="6">
        <f t="shared" si="1"/>
        <v>0.42799999999999999</v>
      </c>
      <c r="L37" s="7">
        <f t="shared" si="2"/>
        <v>0.57200000000000006</v>
      </c>
    </row>
    <row r="38" spans="1:12" x14ac:dyDescent="0.2">
      <c r="A38" s="2" t="s">
        <v>92</v>
      </c>
      <c r="B38" s="3" t="s">
        <v>93</v>
      </c>
      <c r="C38" s="3" t="s">
        <v>5</v>
      </c>
      <c r="D38" s="4">
        <v>91</v>
      </c>
      <c r="E38" s="4">
        <v>13</v>
      </c>
      <c r="F38" s="4">
        <v>79</v>
      </c>
      <c r="G38" s="4">
        <v>85</v>
      </c>
      <c r="H38" s="4">
        <v>67</v>
      </c>
      <c r="I38" s="5">
        <f t="shared" si="0"/>
        <v>335</v>
      </c>
      <c r="J38" s="5">
        <v>500</v>
      </c>
      <c r="K38" s="6">
        <f t="shared" si="1"/>
        <v>0.67</v>
      </c>
      <c r="L38" s="7">
        <f t="shared" si="2"/>
        <v>0.32999999999999996</v>
      </c>
    </row>
    <row r="39" spans="1:12" x14ac:dyDescent="0.2">
      <c r="A39" s="2" t="s">
        <v>94</v>
      </c>
      <c r="B39" s="3" t="s">
        <v>95</v>
      </c>
      <c r="C39" s="3" t="s">
        <v>30</v>
      </c>
      <c r="D39" s="4">
        <v>66</v>
      </c>
      <c r="E39" s="4">
        <v>59</v>
      </c>
      <c r="F39" s="4">
        <v>25</v>
      </c>
      <c r="G39" s="4">
        <v>55</v>
      </c>
      <c r="H39" s="4">
        <v>59</v>
      </c>
      <c r="I39" s="5">
        <f t="shared" si="0"/>
        <v>264</v>
      </c>
      <c r="J39" s="5">
        <v>500</v>
      </c>
      <c r="K39" s="6">
        <f t="shared" si="1"/>
        <v>0.52800000000000002</v>
      </c>
      <c r="L39" s="7">
        <f t="shared" si="2"/>
        <v>0.47199999999999998</v>
      </c>
    </row>
    <row r="40" spans="1:12" x14ac:dyDescent="0.2">
      <c r="A40" s="2" t="s">
        <v>96</v>
      </c>
      <c r="B40" s="3" t="s">
        <v>97</v>
      </c>
      <c r="C40" s="3" t="s">
        <v>33</v>
      </c>
      <c r="D40" s="4">
        <v>70</v>
      </c>
      <c r="E40" s="4">
        <v>18</v>
      </c>
      <c r="F40" s="4">
        <v>88</v>
      </c>
      <c r="G40" s="4">
        <v>46</v>
      </c>
      <c r="H40" s="4">
        <v>52</v>
      </c>
      <c r="I40" s="5">
        <f t="shared" si="0"/>
        <v>274</v>
      </c>
      <c r="J40" s="5">
        <v>500</v>
      </c>
      <c r="K40" s="6">
        <f t="shared" si="1"/>
        <v>0.54800000000000004</v>
      </c>
      <c r="L40" s="7">
        <f t="shared" si="2"/>
        <v>0.45199999999999996</v>
      </c>
    </row>
    <row r="41" spans="1:12" x14ac:dyDescent="0.2">
      <c r="A41" s="2" t="s">
        <v>98</v>
      </c>
      <c r="B41" s="3" t="s">
        <v>99</v>
      </c>
      <c r="C41" s="3" t="s">
        <v>6</v>
      </c>
      <c r="D41" s="4">
        <v>37</v>
      </c>
      <c r="E41" s="4">
        <v>60</v>
      </c>
      <c r="F41" s="4">
        <v>44</v>
      </c>
      <c r="G41" s="4">
        <v>61</v>
      </c>
      <c r="H41" s="4">
        <v>30</v>
      </c>
      <c r="I41" s="5">
        <f t="shared" si="0"/>
        <v>232</v>
      </c>
      <c r="J41" s="5">
        <v>500</v>
      </c>
      <c r="K41" s="6">
        <f t="shared" si="1"/>
        <v>0.46400000000000002</v>
      </c>
      <c r="L41" s="7">
        <f t="shared" si="2"/>
        <v>0.53600000000000003</v>
      </c>
    </row>
    <row r="42" spans="1:12" x14ac:dyDescent="0.2">
      <c r="A42" s="2" t="s">
        <v>100</v>
      </c>
      <c r="B42" s="3" t="s">
        <v>101</v>
      </c>
      <c r="C42" s="3" t="s">
        <v>1</v>
      </c>
      <c r="D42" s="4">
        <v>16</v>
      </c>
      <c r="E42" s="4">
        <v>46</v>
      </c>
      <c r="F42" s="4">
        <v>33</v>
      </c>
      <c r="G42" s="4">
        <v>54</v>
      </c>
      <c r="H42" s="4">
        <v>58</v>
      </c>
      <c r="I42" s="5">
        <f t="shared" si="0"/>
        <v>207</v>
      </c>
      <c r="J42" s="5">
        <v>500</v>
      </c>
      <c r="K42" s="6">
        <f t="shared" si="1"/>
        <v>0.41399999999999998</v>
      </c>
      <c r="L42" s="7">
        <f t="shared" si="2"/>
        <v>0.58600000000000008</v>
      </c>
    </row>
    <row r="43" spans="1:12" x14ac:dyDescent="0.2">
      <c r="A43" s="2" t="s">
        <v>102</v>
      </c>
      <c r="B43" s="3" t="s">
        <v>103</v>
      </c>
      <c r="C43" s="3" t="s">
        <v>3</v>
      </c>
      <c r="D43" s="4">
        <v>47</v>
      </c>
      <c r="E43" s="4">
        <v>97</v>
      </c>
      <c r="F43" s="4">
        <v>74</v>
      </c>
      <c r="G43" s="4">
        <v>97</v>
      </c>
      <c r="H43" s="4">
        <v>56</v>
      </c>
      <c r="I43" s="5">
        <f t="shared" si="0"/>
        <v>371</v>
      </c>
      <c r="J43" s="5">
        <v>500</v>
      </c>
      <c r="K43" s="6">
        <f t="shared" si="1"/>
        <v>0.74199999999999999</v>
      </c>
      <c r="L43" s="7">
        <f t="shared" si="2"/>
        <v>0.25800000000000001</v>
      </c>
    </row>
    <row r="44" spans="1:12" x14ac:dyDescent="0.2">
      <c r="A44" s="2" t="s">
        <v>104</v>
      </c>
      <c r="B44" s="3" t="s">
        <v>105</v>
      </c>
      <c r="C44" s="3" t="s">
        <v>4</v>
      </c>
      <c r="D44" s="4">
        <v>86</v>
      </c>
      <c r="E44" s="4">
        <v>22</v>
      </c>
      <c r="F44" s="4">
        <v>10</v>
      </c>
      <c r="G44" s="4">
        <v>60</v>
      </c>
      <c r="H44" s="4">
        <v>28</v>
      </c>
      <c r="I44" s="5">
        <f t="shared" si="0"/>
        <v>206</v>
      </c>
      <c r="J44" s="5">
        <v>500</v>
      </c>
      <c r="K44" s="6">
        <f t="shared" si="1"/>
        <v>0.41199999999999998</v>
      </c>
      <c r="L44" s="7">
        <f t="shared" si="2"/>
        <v>0.58800000000000008</v>
      </c>
    </row>
    <row r="45" spans="1:12" x14ac:dyDescent="0.2">
      <c r="A45" s="2" t="s">
        <v>106</v>
      </c>
      <c r="B45" s="3" t="s">
        <v>107</v>
      </c>
      <c r="C45" s="3" t="s">
        <v>2</v>
      </c>
      <c r="D45" s="4">
        <v>74</v>
      </c>
      <c r="E45" s="4">
        <v>17</v>
      </c>
      <c r="F45" s="4">
        <v>45</v>
      </c>
      <c r="G45" s="4">
        <v>64</v>
      </c>
      <c r="H45" s="4">
        <v>13</v>
      </c>
      <c r="I45" s="5">
        <f t="shared" si="0"/>
        <v>213</v>
      </c>
      <c r="J45" s="5">
        <v>500</v>
      </c>
      <c r="K45" s="6">
        <f t="shared" si="1"/>
        <v>0.42599999999999999</v>
      </c>
      <c r="L45" s="7">
        <f t="shared" si="2"/>
        <v>0.57400000000000007</v>
      </c>
    </row>
    <row r="46" spans="1:12" x14ac:dyDescent="0.2">
      <c r="A46" s="2" t="s">
        <v>108</v>
      </c>
      <c r="B46" s="3" t="s">
        <v>109</v>
      </c>
      <c r="C46" s="3" t="s">
        <v>5</v>
      </c>
      <c r="D46" s="4">
        <v>80</v>
      </c>
      <c r="E46" s="4">
        <v>51</v>
      </c>
      <c r="F46" s="4">
        <v>15</v>
      </c>
      <c r="G46" s="4">
        <v>97</v>
      </c>
      <c r="H46" s="4">
        <v>42</v>
      </c>
      <c r="I46" s="5">
        <f t="shared" si="0"/>
        <v>285</v>
      </c>
      <c r="J46" s="5">
        <v>500</v>
      </c>
      <c r="K46" s="6">
        <f t="shared" si="1"/>
        <v>0.56999999999999995</v>
      </c>
      <c r="L46" s="7">
        <f t="shared" si="2"/>
        <v>0.43000000000000005</v>
      </c>
    </row>
    <row r="47" spans="1:12" x14ac:dyDescent="0.2">
      <c r="A47" s="2" t="s">
        <v>110</v>
      </c>
      <c r="B47" s="3" t="s">
        <v>111</v>
      </c>
      <c r="C47" s="3" t="s">
        <v>30</v>
      </c>
      <c r="D47" s="4">
        <v>49</v>
      </c>
      <c r="E47" s="4">
        <v>82</v>
      </c>
      <c r="F47" s="4">
        <v>95</v>
      </c>
      <c r="G47" s="4">
        <v>46</v>
      </c>
      <c r="H47" s="4">
        <v>78</v>
      </c>
      <c r="I47" s="5">
        <f t="shared" si="0"/>
        <v>350</v>
      </c>
      <c r="J47" s="5">
        <v>500</v>
      </c>
      <c r="K47" s="6">
        <f t="shared" si="1"/>
        <v>0.7</v>
      </c>
      <c r="L47" s="7">
        <f t="shared" si="2"/>
        <v>0.30000000000000004</v>
      </c>
    </row>
    <row r="48" spans="1:12" x14ac:dyDescent="0.2">
      <c r="A48" s="2" t="s">
        <v>112</v>
      </c>
      <c r="B48" s="3" t="s">
        <v>113</v>
      </c>
      <c r="C48" s="3" t="s">
        <v>33</v>
      </c>
      <c r="D48" s="4">
        <v>17</v>
      </c>
      <c r="E48" s="4">
        <v>88</v>
      </c>
      <c r="F48" s="4">
        <v>12</v>
      </c>
      <c r="G48" s="4">
        <v>54</v>
      </c>
      <c r="H48" s="4">
        <v>21</v>
      </c>
      <c r="I48" s="5">
        <f t="shared" si="0"/>
        <v>192</v>
      </c>
      <c r="J48" s="5">
        <v>500</v>
      </c>
      <c r="K48" s="6">
        <f t="shared" si="1"/>
        <v>0.38400000000000001</v>
      </c>
      <c r="L48" s="7">
        <f t="shared" si="2"/>
        <v>0.61599999999999999</v>
      </c>
    </row>
    <row r="49" spans="1:12" x14ac:dyDescent="0.2">
      <c r="A49" s="2" t="s">
        <v>114</v>
      </c>
      <c r="B49" s="3" t="s">
        <v>115</v>
      </c>
      <c r="C49" s="3" t="s">
        <v>6</v>
      </c>
      <c r="D49" s="4">
        <v>74</v>
      </c>
      <c r="E49" s="4">
        <v>16</v>
      </c>
      <c r="F49" s="4">
        <v>74</v>
      </c>
      <c r="G49" s="4">
        <v>36</v>
      </c>
      <c r="H49" s="4">
        <v>33</v>
      </c>
      <c r="I49" s="5">
        <f t="shared" si="0"/>
        <v>233</v>
      </c>
      <c r="J49" s="5">
        <v>500</v>
      </c>
      <c r="K49" s="6">
        <f t="shared" si="1"/>
        <v>0.46600000000000003</v>
      </c>
      <c r="L49" s="7">
        <f t="shared" si="2"/>
        <v>0.53400000000000003</v>
      </c>
    </row>
    <row r="50" spans="1:12" x14ac:dyDescent="0.2">
      <c r="A50" s="2" t="s">
        <v>116</v>
      </c>
      <c r="B50" s="3" t="s">
        <v>117</v>
      </c>
      <c r="C50" s="3" t="s">
        <v>1</v>
      </c>
      <c r="D50" s="4">
        <v>73</v>
      </c>
      <c r="E50" s="4">
        <v>72</v>
      </c>
      <c r="F50" s="4">
        <v>38</v>
      </c>
      <c r="G50" s="4">
        <v>19</v>
      </c>
      <c r="H50" s="4">
        <v>90</v>
      </c>
      <c r="I50" s="5">
        <f t="shared" si="0"/>
        <v>292</v>
      </c>
      <c r="J50" s="5">
        <v>500</v>
      </c>
      <c r="K50" s="6">
        <f t="shared" si="1"/>
        <v>0.58399999999999996</v>
      </c>
      <c r="L50" s="7">
        <f t="shared" si="2"/>
        <v>0.41600000000000004</v>
      </c>
    </row>
    <row r="51" spans="1:12" x14ac:dyDescent="0.2">
      <c r="A51" s="2" t="s">
        <v>118</v>
      </c>
      <c r="B51" s="3" t="s">
        <v>119</v>
      </c>
      <c r="C51" s="3" t="s">
        <v>3</v>
      </c>
      <c r="D51" s="4">
        <v>17</v>
      </c>
      <c r="E51" s="4">
        <v>84</v>
      </c>
      <c r="F51" s="4">
        <v>90</v>
      </c>
      <c r="G51" s="4">
        <v>77</v>
      </c>
      <c r="H51" s="4">
        <v>72</v>
      </c>
      <c r="I51" s="5">
        <f t="shared" si="0"/>
        <v>340</v>
      </c>
      <c r="J51" s="5">
        <v>500</v>
      </c>
      <c r="K51" s="6">
        <f t="shared" si="1"/>
        <v>0.68</v>
      </c>
      <c r="L51" s="7">
        <f t="shared" si="2"/>
        <v>0.31999999999999995</v>
      </c>
    </row>
    <row r="52" spans="1:12" x14ac:dyDescent="0.2">
      <c r="A52" s="2" t="s">
        <v>120</v>
      </c>
      <c r="B52" s="3" t="s">
        <v>121</v>
      </c>
      <c r="C52" s="3" t="s">
        <v>4</v>
      </c>
      <c r="D52" s="4">
        <v>52</v>
      </c>
      <c r="E52" s="4">
        <v>36</v>
      </c>
      <c r="F52" s="4">
        <v>84</v>
      </c>
      <c r="G52" s="4">
        <v>41</v>
      </c>
      <c r="H52" s="4">
        <v>57</v>
      </c>
      <c r="I52" s="5">
        <f t="shared" si="0"/>
        <v>270</v>
      </c>
      <c r="J52" s="5">
        <v>500</v>
      </c>
      <c r="K52" s="6">
        <f t="shared" si="1"/>
        <v>0.54</v>
      </c>
      <c r="L52" s="7">
        <f t="shared" si="2"/>
        <v>0.45999999999999996</v>
      </c>
    </row>
    <row r="53" spans="1:12" x14ac:dyDescent="0.2">
      <c r="A53" s="2" t="s">
        <v>122</v>
      </c>
      <c r="B53" s="3" t="s">
        <v>123</v>
      </c>
      <c r="C53" s="3" t="s">
        <v>2</v>
      </c>
      <c r="D53" s="4">
        <v>65</v>
      </c>
      <c r="E53" s="4">
        <v>67</v>
      </c>
      <c r="F53" s="4">
        <v>72</v>
      </c>
      <c r="G53" s="4">
        <v>22</v>
      </c>
      <c r="H53" s="4">
        <v>23</v>
      </c>
      <c r="I53" s="5">
        <f t="shared" si="0"/>
        <v>249</v>
      </c>
      <c r="J53" s="5">
        <v>500</v>
      </c>
      <c r="K53" s="6">
        <f t="shared" si="1"/>
        <v>0.498</v>
      </c>
      <c r="L53" s="7">
        <f t="shared" si="2"/>
        <v>0.502</v>
      </c>
    </row>
    <row r="54" spans="1:12" x14ac:dyDescent="0.2">
      <c r="A54" s="2" t="s">
        <v>124</v>
      </c>
      <c r="B54" s="3" t="s">
        <v>125</v>
      </c>
      <c r="C54" s="3" t="s">
        <v>5</v>
      </c>
      <c r="D54" s="4">
        <v>88</v>
      </c>
      <c r="E54" s="4">
        <v>39</v>
      </c>
      <c r="F54" s="4">
        <v>25</v>
      </c>
      <c r="G54" s="4">
        <v>99</v>
      </c>
      <c r="H54" s="4">
        <v>71</v>
      </c>
      <c r="I54" s="5">
        <f t="shared" si="0"/>
        <v>322</v>
      </c>
      <c r="J54" s="5">
        <v>500</v>
      </c>
      <c r="K54" s="6">
        <f t="shared" si="1"/>
        <v>0.64400000000000002</v>
      </c>
      <c r="L54" s="7">
        <f t="shared" si="2"/>
        <v>0.35599999999999998</v>
      </c>
    </row>
    <row r="55" spans="1:12" x14ac:dyDescent="0.2">
      <c r="A55" s="2" t="s">
        <v>126</v>
      </c>
      <c r="B55" s="3" t="s">
        <v>127</v>
      </c>
      <c r="C55" s="3" t="s">
        <v>30</v>
      </c>
      <c r="D55" s="4">
        <v>23</v>
      </c>
      <c r="E55" s="4">
        <v>14</v>
      </c>
      <c r="F55" s="4">
        <v>15</v>
      </c>
      <c r="G55" s="4">
        <v>58</v>
      </c>
      <c r="H55" s="4">
        <v>79</v>
      </c>
      <c r="I55" s="5">
        <f t="shared" si="0"/>
        <v>189</v>
      </c>
      <c r="J55" s="5">
        <v>500</v>
      </c>
      <c r="K55" s="6">
        <f t="shared" si="1"/>
        <v>0.378</v>
      </c>
      <c r="L55" s="7">
        <f t="shared" si="2"/>
        <v>0.622</v>
      </c>
    </row>
    <row r="56" spans="1:12" x14ac:dyDescent="0.2">
      <c r="A56" s="2" t="s">
        <v>128</v>
      </c>
      <c r="B56" s="3" t="s">
        <v>129</v>
      </c>
      <c r="C56" s="3" t="s">
        <v>33</v>
      </c>
      <c r="D56" s="4">
        <v>15</v>
      </c>
      <c r="E56" s="4">
        <v>67</v>
      </c>
      <c r="F56" s="4">
        <v>48</v>
      </c>
      <c r="G56" s="4">
        <v>95</v>
      </c>
      <c r="H56" s="4">
        <v>35</v>
      </c>
      <c r="I56" s="5">
        <f t="shared" si="0"/>
        <v>260</v>
      </c>
      <c r="J56" s="5">
        <v>500</v>
      </c>
      <c r="K56" s="6">
        <f t="shared" si="1"/>
        <v>0.52</v>
      </c>
      <c r="L56" s="7">
        <f t="shared" si="2"/>
        <v>0.48</v>
      </c>
    </row>
    <row r="57" spans="1:12" x14ac:dyDescent="0.2">
      <c r="A57" s="2" t="s">
        <v>130</v>
      </c>
      <c r="B57" s="3" t="s">
        <v>131</v>
      </c>
      <c r="C57" s="3" t="s">
        <v>6</v>
      </c>
      <c r="D57" s="4">
        <v>18</v>
      </c>
      <c r="E57" s="4">
        <v>35</v>
      </c>
      <c r="F57" s="4">
        <v>82</v>
      </c>
      <c r="G57" s="4">
        <v>31</v>
      </c>
      <c r="H57" s="4">
        <v>26</v>
      </c>
      <c r="I57" s="5">
        <f t="shared" si="0"/>
        <v>192</v>
      </c>
      <c r="J57" s="5">
        <v>500</v>
      </c>
      <c r="K57" s="6">
        <f t="shared" si="1"/>
        <v>0.38400000000000001</v>
      </c>
      <c r="L57" s="7">
        <f t="shared" si="2"/>
        <v>0.61599999999999999</v>
      </c>
    </row>
    <row r="58" spans="1:12" x14ac:dyDescent="0.2">
      <c r="A58" s="2" t="s">
        <v>132</v>
      </c>
      <c r="B58" s="3" t="s">
        <v>133</v>
      </c>
      <c r="C58" s="3" t="s">
        <v>1</v>
      </c>
      <c r="D58" s="4">
        <v>57</v>
      </c>
      <c r="E58" s="4">
        <v>60</v>
      </c>
      <c r="F58" s="4">
        <v>42</v>
      </c>
      <c r="G58" s="4">
        <v>81</v>
      </c>
      <c r="H58" s="4">
        <v>44</v>
      </c>
      <c r="I58" s="5">
        <f t="shared" si="0"/>
        <v>284</v>
      </c>
      <c r="J58" s="5">
        <v>500</v>
      </c>
      <c r="K58" s="6">
        <f t="shared" si="1"/>
        <v>0.56799999999999995</v>
      </c>
      <c r="L58" s="7">
        <f t="shared" si="2"/>
        <v>0.43200000000000005</v>
      </c>
    </row>
    <row r="59" spans="1:12" x14ac:dyDescent="0.2">
      <c r="A59" s="2" t="s">
        <v>134</v>
      </c>
      <c r="B59" s="3" t="s">
        <v>135</v>
      </c>
      <c r="C59" s="3" t="s">
        <v>3</v>
      </c>
      <c r="D59" s="4">
        <v>34</v>
      </c>
      <c r="E59" s="4">
        <v>97</v>
      </c>
      <c r="F59" s="4">
        <v>66</v>
      </c>
      <c r="G59" s="4">
        <v>45</v>
      </c>
      <c r="H59" s="4">
        <v>50</v>
      </c>
      <c r="I59" s="5">
        <f t="shared" si="0"/>
        <v>292</v>
      </c>
      <c r="J59" s="5">
        <v>500</v>
      </c>
      <c r="K59" s="6">
        <f t="shared" si="1"/>
        <v>0.58399999999999996</v>
      </c>
      <c r="L59" s="7">
        <f t="shared" si="2"/>
        <v>0.41600000000000004</v>
      </c>
    </row>
    <row r="60" spans="1:12" x14ac:dyDescent="0.2">
      <c r="A60" s="2" t="s">
        <v>136</v>
      </c>
      <c r="B60" s="3" t="s">
        <v>137</v>
      </c>
      <c r="C60" s="3" t="s">
        <v>4</v>
      </c>
      <c r="D60" s="4">
        <v>83</v>
      </c>
      <c r="E60" s="4">
        <v>12</v>
      </c>
      <c r="F60" s="4">
        <v>70</v>
      </c>
      <c r="G60" s="4">
        <v>83</v>
      </c>
      <c r="H60" s="4">
        <v>52</v>
      </c>
      <c r="I60" s="5">
        <f t="shared" si="0"/>
        <v>300</v>
      </c>
      <c r="J60" s="5">
        <v>500</v>
      </c>
      <c r="K60" s="6">
        <f t="shared" si="1"/>
        <v>0.6</v>
      </c>
      <c r="L60" s="7">
        <f t="shared" si="2"/>
        <v>0.4</v>
      </c>
    </row>
    <row r="61" spans="1:12" x14ac:dyDescent="0.2">
      <c r="A61" s="2" t="s">
        <v>138</v>
      </c>
      <c r="B61" s="3" t="s">
        <v>139</v>
      </c>
      <c r="C61" s="3" t="s">
        <v>2</v>
      </c>
      <c r="D61" s="4">
        <v>76</v>
      </c>
      <c r="E61" s="4">
        <v>55</v>
      </c>
      <c r="F61" s="4">
        <v>56</v>
      </c>
      <c r="G61" s="4">
        <v>16</v>
      </c>
      <c r="H61" s="4">
        <v>61</v>
      </c>
      <c r="I61" s="5">
        <f t="shared" si="0"/>
        <v>264</v>
      </c>
      <c r="J61" s="5">
        <v>500</v>
      </c>
      <c r="K61" s="6">
        <f t="shared" si="1"/>
        <v>0.52800000000000002</v>
      </c>
      <c r="L61" s="7">
        <f t="shared" si="2"/>
        <v>0.47199999999999998</v>
      </c>
    </row>
    <row r="62" spans="1:12" x14ac:dyDescent="0.2">
      <c r="A62" s="2" t="s">
        <v>140</v>
      </c>
      <c r="B62" s="3" t="s">
        <v>141</v>
      </c>
      <c r="C62" s="3" t="s">
        <v>5</v>
      </c>
      <c r="D62" s="4">
        <v>40</v>
      </c>
      <c r="E62" s="4">
        <v>70</v>
      </c>
      <c r="F62" s="4">
        <v>19</v>
      </c>
      <c r="G62" s="4">
        <v>36</v>
      </c>
      <c r="H62" s="4">
        <v>52</v>
      </c>
      <c r="I62" s="5">
        <f t="shared" si="0"/>
        <v>217</v>
      </c>
      <c r="J62" s="5">
        <v>500</v>
      </c>
      <c r="K62" s="6">
        <f t="shared" si="1"/>
        <v>0.434</v>
      </c>
      <c r="L62" s="7">
        <f t="shared" si="2"/>
        <v>0.56600000000000006</v>
      </c>
    </row>
    <row r="63" spans="1:12" x14ac:dyDescent="0.2">
      <c r="A63" s="2" t="s">
        <v>142</v>
      </c>
      <c r="B63" s="3" t="s">
        <v>143</v>
      </c>
      <c r="C63" s="3" t="s">
        <v>30</v>
      </c>
      <c r="D63" s="4">
        <v>44</v>
      </c>
      <c r="E63" s="4">
        <v>60</v>
      </c>
      <c r="F63" s="4">
        <v>71</v>
      </c>
      <c r="G63" s="4">
        <v>34</v>
      </c>
      <c r="H63" s="4">
        <v>37</v>
      </c>
      <c r="I63" s="5">
        <f t="shared" si="0"/>
        <v>246</v>
      </c>
      <c r="J63" s="5">
        <v>500</v>
      </c>
      <c r="K63" s="6">
        <f t="shared" si="1"/>
        <v>0.49199999999999999</v>
      </c>
      <c r="L63" s="7">
        <f t="shared" si="2"/>
        <v>0.50800000000000001</v>
      </c>
    </row>
    <row r="64" spans="1:12" x14ac:dyDescent="0.2">
      <c r="A64" s="2" t="s">
        <v>144</v>
      </c>
      <c r="B64" s="3" t="s">
        <v>145</v>
      </c>
      <c r="C64" s="3" t="s">
        <v>33</v>
      </c>
      <c r="D64" s="4">
        <v>43</v>
      </c>
      <c r="E64" s="4">
        <v>78</v>
      </c>
      <c r="F64" s="4">
        <v>15</v>
      </c>
      <c r="G64" s="4">
        <v>98</v>
      </c>
      <c r="H64" s="4">
        <v>33</v>
      </c>
      <c r="I64" s="5">
        <f t="shared" si="0"/>
        <v>267</v>
      </c>
      <c r="J64" s="5">
        <v>500</v>
      </c>
      <c r="K64" s="6">
        <f t="shared" si="1"/>
        <v>0.53400000000000003</v>
      </c>
      <c r="L64" s="7">
        <f t="shared" si="2"/>
        <v>0.46599999999999997</v>
      </c>
    </row>
    <row r="65" spans="1:12" x14ac:dyDescent="0.2">
      <c r="A65" s="2" t="s">
        <v>146</v>
      </c>
      <c r="B65" s="3" t="s">
        <v>147</v>
      </c>
      <c r="C65" s="3" t="s">
        <v>6</v>
      </c>
      <c r="D65" s="4">
        <v>75</v>
      </c>
      <c r="E65" s="4">
        <v>75</v>
      </c>
      <c r="F65" s="4">
        <v>89</v>
      </c>
      <c r="G65" s="4">
        <v>97</v>
      </c>
      <c r="H65" s="4">
        <v>49</v>
      </c>
      <c r="I65" s="5">
        <f t="shared" si="0"/>
        <v>385</v>
      </c>
      <c r="J65" s="5">
        <v>500</v>
      </c>
      <c r="K65" s="6">
        <f t="shared" si="1"/>
        <v>0.77</v>
      </c>
      <c r="L65" s="7">
        <f t="shared" si="2"/>
        <v>0.22999999999999998</v>
      </c>
    </row>
    <row r="66" spans="1:12" x14ac:dyDescent="0.2">
      <c r="A66" s="2" t="s">
        <v>148</v>
      </c>
      <c r="B66" s="3" t="s">
        <v>149</v>
      </c>
      <c r="C66" s="3" t="s">
        <v>1</v>
      </c>
      <c r="D66" s="4">
        <v>74</v>
      </c>
      <c r="E66" s="4">
        <v>51</v>
      </c>
      <c r="F66" s="4">
        <v>97</v>
      </c>
      <c r="G66" s="4">
        <v>73</v>
      </c>
      <c r="H66" s="4">
        <v>33</v>
      </c>
      <c r="I66" s="5">
        <f t="shared" si="0"/>
        <v>328</v>
      </c>
      <c r="J66" s="5">
        <v>500</v>
      </c>
      <c r="K66" s="6">
        <f t="shared" si="1"/>
        <v>0.65600000000000003</v>
      </c>
      <c r="L66" s="7">
        <f t="shared" si="2"/>
        <v>0.34399999999999997</v>
      </c>
    </row>
    <row r="67" spans="1:12" x14ac:dyDescent="0.2">
      <c r="A67" s="2" t="s">
        <v>150</v>
      </c>
      <c r="B67" s="3" t="s">
        <v>151</v>
      </c>
      <c r="C67" s="3" t="s">
        <v>3</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
      <c r="A68" s="2" t="s">
        <v>152</v>
      </c>
      <c r="B68" s="3" t="s">
        <v>153</v>
      </c>
      <c r="C68" s="3" t="s">
        <v>4</v>
      </c>
      <c r="D68" s="4">
        <v>87</v>
      </c>
      <c r="E68" s="4">
        <v>79</v>
      </c>
      <c r="F68" s="4">
        <v>46</v>
      </c>
      <c r="G68" s="4">
        <v>65</v>
      </c>
      <c r="H68" s="4">
        <v>65</v>
      </c>
      <c r="I68" s="5">
        <f t="shared" si="3"/>
        <v>342</v>
      </c>
      <c r="J68" s="5">
        <v>500</v>
      </c>
      <c r="K68" s="6">
        <f t="shared" si="4"/>
        <v>0.68400000000000005</v>
      </c>
      <c r="L68" s="7">
        <f t="shared" si="5"/>
        <v>0.31599999999999995</v>
      </c>
    </row>
    <row r="69" spans="1:12" x14ac:dyDescent="0.2">
      <c r="A69" s="2" t="s">
        <v>154</v>
      </c>
      <c r="B69" s="3" t="s">
        <v>155</v>
      </c>
      <c r="C69" s="3" t="s">
        <v>2</v>
      </c>
      <c r="D69" s="4">
        <v>70</v>
      </c>
      <c r="E69" s="4">
        <v>52</v>
      </c>
      <c r="F69" s="4">
        <v>80</v>
      </c>
      <c r="G69" s="4">
        <v>43</v>
      </c>
      <c r="H69" s="4">
        <v>48</v>
      </c>
      <c r="I69" s="5">
        <f t="shared" si="3"/>
        <v>293</v>
      </c>
      <c r="J69" s="5">
        <v>500</v>
      </c>
      <c r="K69" s="6">
        <f t="shared" si="4"/>
        <v>0.58599999999999997</v>
      </c>
      <c r="L69" s="7">
        <f t="shared" si="5"/>
        <v>0.41400000000000003</v>
      </c>
    </row>
    <row r="70" spans="1:12" x14ac:dyDescent="0.2">
      <c r="A70" s="2" t="s">
        <v>156</v>
      </c>
      <c r="B70" s="3" t="s">
        <v>157</v>
      </c>
      <c r="C70" s="3" t="s">
        <v>5</v>
      </c>
      <c r="D70" s="4">
        <v>45</v>
      </c>
      <c r="E70" s="4">
        <v>26</v>
      </c>
      <c r="F70" s="4">
        <v>27</v>
      </c>
      <c r="G70" s="4">
        <v>14</v>
      </c>
      <c r="H70" s="4">
        <v>59</v>
      </c>
      <c r="I70" s="5">
        <f t="shared" si="3"/>
        <v>171</v>
      </c>
      <c r="J70" s="5">
        <v>500</v>
      </c>
      <c r="K70" s="6">
        <f t="shared" si="4"/>
        <v>0.34200000000000003</v>
      </c>
      <c r="L70" s="7">
        <f t="shared" si="5"/>
        <v>0.65799999999999992</v>
      </c>
    </row>
    <row r="71" spans="1:12" x14ac:dyDescent="0.2">
      <c r="A71" s="2" t="s">
        <v>158</v>
      </c>
      <c r="B71" s="3" t="s">
        <v>159</v>
      </c>
      <c r="C71" s="3" t="s">
        <v>30</v>
      </c>
      <c r="D71" s="4">
        <v>51</v>
      </c>
      <c r="E71" s="4">
        <v>26</v>
      </c>
      <c r="F71" s="4">
        <v>58</v>
      </c>
      <c r="G71" s="4">
        <v>83</v>
      </c>
      <c r="H71" s="4">
        <v>11</v>
      </c>
      <c r="I71" s="5">
        <f t="shared" si="3"/>
        <v>229</v>
      </c>
      <c r="J71" s="5">
        <v>500</v>
      </c>
      <c r="K71" s="6">
        <f t="shared" si="4"/>
        <v>0.45800000000000002</v>
      </c>
      <c r="L71" s="7">
        <f t="shared" si="5"/>
        <v>0.54200000000000004</v>
      </c>
    </row>
    <row r="72" spans="1:12" x14ac:dyDescent="0.2">
      <c r="A72" s="2" t="s">
        <v>160</v>
      </c>
      <c r="B72" s="3" t="s">
        <v>161</v>
      </c>
      <c r="C72" s="3" t="s">
        <v>33</v>
      </c>
      <c r="D72" s="4">
        <v>68</v>
      </c>
      <c r="E72" s="4">
        <v>36</v>
      </c>
      <c r="F72" s="4">
        <v>15</v>
      </c>
      <c r="G72" s="4">
        <v>20</v>
      </c>
      <c r="H72" s="4">
        <v>17</v>
      </c>
      <c r="I72" s="5">
        <f t="shared" si="3"/>
        <v>156</v>
      </c>
      <c r="J72" s="5">
        <v>500</v>
      </c>
      <c r="K72" s="6">
        <f t="shared" si="4"/>
        <v>0.312</v>
      </c>
      <c r="L72" s="7">
        <f t="shared" si="5"/>
        <v>0.68799999999999994</v>
      </c>
    </row>
    <row r="73" spans="1:12" x14ac:dyDescent="0.2">
      <c r="A73" s="2" t="s">
        <v>162</v>
      </c>
      <c r="B73" s="3" t="s">
        <v>163</v>
      </c>
      <c r="C73" s="3" t="s">
        <v>6</v>
      </c>
      <c r="D73" s="4">
        <v>32</v>
      </c>
      <c r="E73" s="4">
        <v>74</v>
      </c>
      <c r="F73" s="4">
        <v>18</v>
      </c>
      <c r="G73" s="4">
        <v>33</v>
      </c>
      <c r="H73" s="4">
        <v>51</v>
      </c>
      <c r="I73" s="5">
        <f t="shared" si="3"/>
        <v>208</v>
      </c>
      <c r="J73" s="5">
        <v>500</v>
      </c>
      <c r="K73" s="6">
        <f t="shared" si="4"/>
        <v>0.41599999999999998</v>
      </c>
      <c r="L73" s="7">
        <f t="shared" si="5"/>
        <v>0.58400000000000007</v>
      </c>
    </row>
    <row r="74" spans="1:12" x14ac:dyDescent="0.2">
      <c r="A74" s="2" t="s">
        <v>164</v>
      </c>
      <c r="B74" s="3" t="s">
        <v>165</v>
      </c>
      <c r="C74" s="3" t="s">
        <v>1</v>
      </c>
      <c r="D74" s="4">
        <v>41</v>
      </c>
      <c r="E74" s="4">
        <v>11</v>
      </c>
      <c r="F74" s="4">
        <v>46</v>
      </c>
      <c r="G74" s="4">
        <v>35</v>
      </c>
      <c r="H74" s="4">
        <v>10</v>
      </c>
      <c r="I74" s="5">
        <f t="shared" si="3"/>
        <v>143</v>
      </c>
      <c r="J74" s="5">
        <v>500</v>
      </c>
      <c r="K74" s="6">
        <f t="shared" si="4"/>
        <v>0.28599999999999998</v>
      </c>
      <c r="L74" s="7">
        <f t="shared" si="5"/>
        <v>0.71399999999999997</v>
      </c>
    </row>
    <row r="75" spans="1:12" x14ac:dyDescent="0.2">
      <c r="A75" s="2" t="s">
        <v>166</v>
      </c>
      <c r="B75" s="3" t="s">
        <v>167</v>
      </c>
      <c r="C75" s="3" t="s">
        <v>3</v>
      </c>
      <c r="D75" s="4">
        <v>41</v>
      </c>
      <c r="E75" s="4">
        <v>17</v>
      </c>
      <c r="F75" s="4">
        <v>82</v>
      </c>
      <c r="G75" s="4">
        <v>75</v>
      </c>
      <c r="H75" s="4">
        <v>39</v>
      </c>
      <c r="I75" s="5">
        <f t="shared" si="3"/>
        <v>254</v>
      </c>
      <c r="J75" s="5">
        <v>500</v>
      </c>
      <c r="K75" s="6">
        <f t="shared" si="4"/>
        <v>0.50800000000000001</v>
      </c>
      <c r="L75" s="7">
        <f t="shared" si="5"/>
        <v>0.49199999999999999</v>
      </c>
    </row>
    <row r="76" spans="1:12" x14ac:dyDescent="0.2">
      <c r="A76" s="2" t="s">
        <v>168</v>
      </c>
      <c r="B76" s="3" t="s">
        <v>169</v>
      </c>
      <c r="C76" s="3" t="s">
        <v>4</v>
      </c>
      <c r="D76" s="4">
        <v>12</v>
      </c>
      <c r="E76" s="4">
        <v>97</v>
      </c>
      <c r="F76" s="4">
        <v>45</v>
      </c>
      <c r="G76" s="4">
        <v>29</v>
      </c>
      <c r="H76" s="4">
        <v>41</v>
      </c>
      <c r="I76" s="5">
        <f t="shared" si="3"/>
        <v>224</v>
      </c>
      <c r="J76" s="5">
        <v>500</v>
      </c>
      <c r="K76" s="6">
        <f t="shared" si="4"/>
        <v>0.44800000000000001</v>
      </c>
      <c r="L76" s="7">
        <f t="shared" si="5"/>
        <v>0.55200000000000005</v>
      </c>
    </row>
    <row r="77" spans="1:12" x14ac:dyDescent="0.2">
      <c r="A77" s="2" t="s">
        <v>170</v>
      </c>
      <c r="B77" s="3" t="s">
        <v>171</v>
      </c>
      <c r="C77" s="3" t="s">
        <v>2</v>
      </c>
      <c r="D77" s="4">
        <v>19</v>
      </c>
      <c r="E77" s="4">
        <v>72</v>
      </c>
      <c r="F77" s="4">
        <v>87</v>
      </c>
      <c r="G77" s="4">
        <v>82</v>
      </c>
      <c r="H77" s="4">
        <v>27</v>
      </c>
      <c r="I77" s="5">
        <f t="shared" si="3"/>
        <v>287</v>
      </c>
      <c r="J77" s="5">
        <v>500</v>
      </c>
      <c r="K77" s="6">
        <f t="shared" si="4"/>
        <v>0.57399999999999995</v>
      </c>
      <c r="L77" s="7">
        <f t="shared" si="5"/>
        <v>0.42600000000000005</v>
      </c>
    </row>
    <row r="78" spans="1:12" x14ac:dyDescent="0.2">
      <c r="A78" s="2" t="s">
        <v>172</v>
      </c>
      <c r="B78" s="3" t="s">
        <v>173</v>
      </c>
      <c r="C78" s="3" t="s">
        <v>5</v>
      </c>
      <c r="D78" s="4">
        <v>98</v>
      </c>
      <c r="E78" s="4">
        <v>15</v>
      </c>
      <c r="F78" s="4">
        <v>72</v>
      </c>
      <c r="G78" s="4">
        <v>67</v>
      </c>
      <c r="H78" s="4">
        <v>34</v>
      </c>
      <c r="I78" s="5">
        <f t="shared" si="3"/>
        <v>286</v>
      </c>
      <c r="J78" s="5">
        <v>500</v>
      </c>
      <c r="K78" s="6">
        <f t="shared" si="4"/>
        <v>0.57199999999999995</v>
      </c>
      <c r="L78" s="7">
        <f t="shared" si="5"/>
        <v>0.42800000000000005</v>
      </c>
    </row>
    <row r="79" spans="1:12" x14ac:dyDescent="0.2">
      <c r="A79" s="2" t="s">
        <v>174</v>
      </c>
      <c r="B79" s="3" t="s">
        <v>175</v>
      </c>
      <c r="C79" s="3" t="s">
        <v>30</v>
      </c>
      <c r="D79" s="4">
        <v>50</v>
      </c>
      <c r="E79" s="4">
        <v>44</v>
      </c>
      <c r="F79" s="4">
        <v>46</v>
      </c>
      <c r="G79" s="4">
        <v>13</v>
      </c>
      <c r="H79" s="4">
        <v>92</v>
      </c>
      <c r="I79" s="5">
        <f t="shared" si="3"/>
        <v>245</v>
      </c>
      <c r="J79" s="5">
        <v>500</v>
      </c>
      <c r="K79" s="6">
        <f t="shared" si="4"/>
        <v>0.49</v>
      </c>
      <c r="L79" s="7">
        <f t="shared" si="5"/>
        <v>0.51</v>
      </c>
    </row>
    <row r="80" spans="1:12" x14ac:dyDescent="0.2">
      <c r="A80" s="2" t="s">
        <v>176</v>
      </c>
      <c r="B80" s="3" t="s">
        <v>177</v>
      </c>
      <c r="C80" s="3" t="s">
        <v>33</v>
      </c>
      <c r="D80" s="4">
        <v>40</v>
      </c>
      <c r="E80" s="4">
        <v>82</v>
      </c>
      <c r="F80" s="4">
        <v>72</v>
      </c>
      <c r="G80" s="4">
        <v>42</v>
      </c>
      <c r="H80" s="4">
        <v>45</v>
      </c>
      <c r="I80" s="5">
        <f t="shared" si="3"/>
        <v>281</v>
      </c>
      <c r="J80" s="5">
        <v>500</v>
      </c>
      <c r="K80" s="6">
        <f t="shared" si="4"/>
        <v>0.56200000000000006</v>
      </c>
      <c r="L80" s="7">
        <f t="shared" si="5"/>
        <v>0.43799999999999994</v>
      </c>
    </row>
    <row r="81" spans="1:12" x14ac:dyDescent="0.2">
      <c r="A81" s="2" t="s">
        <v>178</v>
      </c>
      <c r="B81" s="3" t="s">
        <v>179</v>
      </c>
      <c r="C81" s="3" t="s">
        <v>6</v>
      </c>
      <c r="D81" s="4">
        <v>23</v>
      </c>
      <c r="E81" s="4">
        <v>83</v>
      </c>
      <c r="F81" s="4">
        <v>63</v>
      </c>
      <c r="G81" s="4">
        <v>65</v>
      </c>
      <c r="H81" s="4">
        <v>83</v>
      </c>
      <c r="I81" s="5">
        <f t="shared" si="3"/>
        <v>317</v>
      </c>
      <c r="J81" s="5">
        <v>500</v>
      </c>
      <c r="K81" s="6">
        <f t="shared" si="4"/>
        <v>0.63400000000000001</v>
      </c>
      <c r="L81" s="7">
        <f t="shared" si="5"/>
        <v>0.36599999999999999</v>
      </c>
    </row>
    <row r="82" spans="1:12" x14ac:dyDescent="0.2">
      <c r="A82" s="2" t="s">
        <v>180</v>
      </c>
      <c r="B82" s="3" t="s">
        <v>181</v>
      </c>
      <c r="C82" s="3" t="s">
        <v>1</v>
      </c>
      <c r="D82" s="4">
        <v>71</v>
      </c>
      <c r="E82" s="4">
        <v>94</v>
      </c>
      <c r="F82" s="4">
        <v>45</v>
      </c>
      <c r="G82" s="4">
        <v>95</v>
      </c>
      <c r="H82" s="4">
        <v>46</v>
      </c>
      <c r="I82" s="5">
        <f t="shared" si="3"/>
        <v>351</v>
      </c>
      <c r="J82" s="5">
        <v>500</v>
      </c>
      <c r="K82" s="6">
        <f t="shared" si="4"/>
        <v>0.70199999999999996</v>
      </c>
      <c r="L82" s="7">
        <f t="shared" si="5"/>
        <v>0.29800000000000004</v>
      </c>
    </row>
    <row r="83" spans="1:12" x14ac:dyDescent="0.2">
      <c r="A83" s="2" t="s">
        <v>182</v>
      </c>
      <c r="B83" s="3" t="s">
        <v>183</v>
      </c>
      <c r="C83" s="3" t="s">
        <v>3</v>
      </c>
      <c r="D83" s="4">
        <v>48</v>
      </c>
      <c r="E83" s="4">
        <v>49</v>
      </c>
      <c r="F83" s="4">
        <v>68</v>
      </c>
      <c r="G83" s="4">
        <v>23</v>
      </c>
      <c r="H83" s="4">
        <v>21</v>
      </c>
      <c r="I83" s="5">
        <f t="shared" si="3"/>
        <v>209</v>
      </c>
      <c r="J83" s="5">
        <v>500</v>
      </c>
      <c r="K83" s="6">
        <f t="shared" si="4"/>
        <v>0.41799999999999998</v>
      </c>
      <c r="L83" s="7">
        <f t="shared" si="5"/>
        <v>0.58200000000000007</v>
      </c>
    </row>
    <row r="84" spans="1:12" x14ac:dyDescent="0.2">
      <c r="A84" s="2" t="s">
        <v>184</v>
      </c>
      <c r="B84" s="3" t="s">
        <v>185</v>
      </c>
      <c r="C84" s="3" t="s">
        <v>4</v>
      </c>
      <c r="D84" s="4">
        <v>77</v>
      </c>
      <c r="E84" s="4">
        <v>83</v>
      </c>
      <c r="F84" s="4">
        <v>64</v>
      </c>
      <c r="G84" s="4">
        <v>53</v>
      </c>
      <c r="H84" s="4">
        <v>13</v>
      </c>
      <c r="I84" s="5">
        <f t="shared" si="3"/>
        <v>290</v>
      </c>
      <c r="J84" s="5">
        <v>500</v>
      </c>
      <c r="K84" s="6">
        <f t="shared" si="4"/>
        <v>0.57999999999999996</v>
      </c>
      <c r="L84" s="7">
        <f t="shared" si="5"/>
        <v>0.42000000000000004</v>
      </c>
    </row>
    <row r="85" spans="1:12" x14ac:dyDescent="0.2">
      <c r="A85" s="2" t="s">
        <v>186</v>
      </c>
      <c r="B85" s="3" t="s">
        <v>187</v>
      </c>
      <c r="C85" s="3" t="s">
        <v>2</v>
      </c>
      <c r="D85" s="4">
        <v>81</v>
      </c>
      <c r="E85" s="4">
        <v>63</v>
      </c>
      <c r="F85" s="4">
        <v>88</v>
      </c>
      <c r="G85" s="4">
        <v>89</v>
      </c>
      <c r="H85" s="4">
        <v>63</v>
      </c>
      <c r="I85" s="5">
        <f t="shared" si="3"/>
        <v>384</v>
      </c>
      <c r="J85" s="5">
        <v>500</v>
      </c>
      <c r="K85" s="6">
        <f t="shared" si="4"/>
        <v>0.76800000000000002</v>
      </c>
      <c r="L85" s="7">
        <f t="shared" si="5"/>
        <v>0.23199999999999998</v>
      </c>
    </row>
    <row r="86" spans="1:12" x14ac:dyDescent="0.2">
      <c r="A86" s="2" t="s">
        <v>188</v>
      </c>
      <c r="B86" s="3" t="s">
        <v>189</v>
      </c>
      <c r="C86" s="3" t="s">
        <v>5</v>
      </c>
      <c r="D86" s="4">
        <v>39</v>
      </c>
      <c r="E86" s="4">
        <v>87</v>
      </c>
      <c r="F86" s="4">
        <v>62</v>
      </c>
      <c r="G86" s="4">
        <v>80</v>
      </c>
      <c r="H86" s="4">
        <v>81</v>
      </c>
      <c r="I86" s="5">
        <f t="shared" si="3"/>
        <v>349</v>
      </c>
      <c r="J86" s="5">
        <v>500</v>
      </c>
      <c r="K86" s="6">
        <f t="shared" si="4"/>
        <v>0.69799999999999995</v>
      </c>
      <c r="L86" s="7">
        <f t="shared" si="5"/>
        <v>0.30200000000000005</v>
      </c>
    </row>
    <row r="87" spans="1:12" x14ac:dyDescent="0.2">
      <c r="A87" s="2" t="s">
        <v>190</v>
      </c>
      <c r="B87" s="3" t="s">
        <v>191</v>
      </c>
      <c r="C87" s="3" t="s">
        <v>30</v>
      </c>
      <c r="D87" s="4">
        <v>46</v>
      </c>
      <c r="E87" s="4">
        <v>19</v>
      </c>
      <c r="F87" s="4">
        <v>59</v>
      </c>
      <c r="G87" s="4">
        <v>58</v>
      </c>
      <c r="H87" s="4">
        <v>33</v>
      </c>
      <c r="I87" s="5">
        <f t="shared" si="3"/>
        <v>215</v>
      </c>
      <c r="J87" s="5">
        <v>500</v>
      </c>
      <c r="K87" s="6">
        <f t="shared" si="4"/>
        <v>0.43</v>
      </c>
      <c r="L87" s="7">
        <f t="shared" si="5"/>
        <v>0.57000000000000006</v>
      </c>
    </row>
    <row r="88" spans="1:12" x14ac:dyDescent="0.2">
      <c r="A88" s="2" t="s">
        <v>192</v>
      </c>
      <c r="B88" s="3" t="s">
        <v>193</v>
      </c>
      <c r="C88" s="3" t="s">
        <v>33</v>
      </c>
      <c r="D88" s="4">
        <v>34</v>
      </c>
      <c r="E88" s="4">
        <v>15</v>
      </c>
      <c r="F88" s="4">
        <v>43</v>
      </c>
      <c r="G88" s="4">
        <v>63</v>
      </c>
      <c r="H88" s="4">
        <v>54</v>
      </c>
      <c r="I88" s="5">
        <f t="shared" si="3"/>
        <v>209</v>
      </c>
      <c r="J88" s="5">
        <v>500</v>
      </c>
      <c r="K88" s="6">
        <f t="shared" si="4"/>
        <v>0.41799999999999998</v>
      </c>
      <c r="L88" s="7">
        <f t="shared" si="5"/>
        <v>0.58200000000000007</v>
      </c>
    </row>
    <row r="89" spans="1:12" x14ac:dyDescent="0.2">
      <c r="A89" s="2" t="s">
        <v>194</v>
      </c>
      <c r="B89" s="3" t="s">
        <v>195</v>
      </c>
      <c r="C89" s="3" t="s">
        <v>6</v>
      </c>
      <c r="D89" s="4">
        <v>32</v>
      </c>
      <c r="E89" s="4">
        <v>79</v>
      </c>
      <c r="F89" s="4">
        <v>65</v>
      </c>
      <c r="G89" s="4">
        <v>57</v>
      </c>
      <c r="H89" s="4">
        <v>73</v>
      </c>
      <c r="I89" s="5">
        <f t="shared" si="3"/>
        <v>306</v>
      </c>
      <c r="J89" s="5">
        <v>500</v>
      </c>
      <c r="K89" s="6">
        <f t="shared" si="4"/>
        <v>0.61199999999999999</v>
      </c>
      <c r="L89" s="7">
        <f t="shared" si="5"/>
        <v>0.38800000000000001</v>
      </c>
    </row>
    <row r="90" spans="1:12" x14ac:dyDescent="0.2">
      <c r="A90" s="2" t="s">
        <v>196</v>
      </c>
      <c r="B90" s="3" t="s">
        <v>197</v>
      </c>
      <c r="C90" s="3" t="s">
        <v>1</v>
      </c>
      <c r="D90" s="4">
        <v>72</v>
      </c>
      <c r="E90" s="4">
        <v>82</v>
      </c>
      <c r="F90" s="4">
        <v>58</v>
      </c>
      <c r="G90" s="4">
        <v>36</v>
      </c>
      <c r="H90" s="4">
        <v>33</v>
      </c>
      <c r="I90" s="5">
        <f t="shared" si="3"/>
        <v>281</v>
      </c>
      <c r="J90" s="5">
        <v>500</v>
      </c>
      <c r="K90" s="6">
        <f t="shared" si="4"/>
        <v>0.56200000000000006</v>
      </c>
      <c r="L90" s="7">
        <f t="shared" si="5"/>
        <v>0.43799999999999994</v>
      </c>
    </row>
    <row r="91" spans="1:12" x14ac:dyDescent="0.2">
      <c r="A91" s="2" t="s">
        <v>198</v>
      </c>
      <c r="B91" s="3" t="s">
        <v>199</v>
      </c>
      <c r="C91" s="3" t="s">
        <v>3</v>
      </c>
      <c r="D91" s="4">
        <v>11</v>
      </c>
      <c r="E91" s="4">
        <v>69</v>
      </c>
      <c r="F91" s="4">
        <v>49</v>
      </c>
      <c r="G91" s="4">
        <v>90</v>
      </c>
      <c r="H91" s="4">
        <v>99</v>
      </c>
      <c r="I91" s="5">
        <f t="shared" si="3"/>
        <v>318</v>
      </c>
      <c r="J91" s="5">
        <v>500</v>
      </c>
      <c r="K91" s="6">
        <f t="shared" si="4"/>
        <v>0.63600000000000001</v>
      </c>
      <c r="L91" s="7">
        <f t="shared" si="5"/>
        <v>0.36399999999999999</v>
      </c>
    </row>
    <row r="92" spans="1:12" x14ac:dyDescent="0.2">
      <c r="A92" s="2" t="s">
        <v>200</v>
      </c>
      <c r="B92" s="3" t="s">
        <v>201</v>
      </c>
      <c r="C92" s="3" t="s">
        <v>4</v>
      </c>
      <c r="D92" s="4">
        <v>80</v>
      </c>
      <c r="E92" s="4">
        <v>73</v>
      </c>
      <c r="F92" s="4">
        <v>21</v>
      </c>
      <c r="G92" s="4">
        <v>72</v>
      </c>
      <c r="H92" s="4">
        <v>54</v>
      </c>
      <c r="I92" s="5">
        <f t="shared" si="3"/>
        <v>300</v>
      </c>
      <c r="J92" s="5">
        <v>500</v>
      </c>
      <c r="K92" s="6">
        <f t="shared" si="4"/>
        <v>0.6</v>
      </c>
      <c r="L92" s="7">
        <f t="shared" si="5"/>
        <v>0.4</v>
      </c>
    </row>
    <row r="93" spans="1:12" x14ac:dyDescent="0.2">
      <c r="A93" s="2" t="s">
        <v>202</v>
      </c>
      <c r="B93" s="3" t="s">
        <v>203</v>
      </c>
      <c r="C93" s="3" t="s">
        <v>2</v>
      </c>
      <c r="D93" s="4">
        <v>93</v>
      </c>
      <c r="E93" s="4">
        <v>42</v>
      </c>
      <c r="F93" s="4">
        <v>38</v>
      </c>
      <c r="G93" s="4">
        <v>98</v>
      </c>
      <c r="H93" s="4">
        <v>10</v>
      </c>
      <c r="I93" s="5">
        <f t="shared" si="3"/>
        <v>281</v>
      </c>
      <c r="J93" s="5">
        <v>500</v>
      </c>
      <c r="K93" s="6">
        <f t="shared" si="4"/>
        <v>0.56200000000000006</v>
      </c>
      <c r="L93" s="7">
        <f t="shared" si="5"/>
        <v>0.43799999999999994</v>
      </c>
    </row>
    <row r="94" spans="1:12" x14ac:dyDescent="0.2">
      <c r="A94" s="2" t="s">
        <v>204</v>
      </c>
      <c r="B94" s="3" t="s">
        <v>205</v>
      </c>
      <c r="C94" s="3" t="s">
        <v>5</v>
      </c>
      <c r="D94" s="4">
        <v>18</v>
      </c>
      <c r="E94" s="4">
        <v>80</v>
      </c>
      <c r="F94" s="4">
        <v>20</v>
      </c>
      <c r="G94" s="4">
        <v>32</v>
      </c>
      <c r="H94" s="4">
        <v>95</v>
      </c>
      <c r="I94" s="5">
        <f t="shared" si="3"/>
        <v>245</v>
      </c>
      <c r="J94" s="5">
        <v>500</v>
      </c>
      <c r="K94" s="6">
        <f t="shared" si="4"/>
        <v>0.49</v>
      </c>
      <c r="L94" s="7">
        <f t="shared" si="5"/>
        <v>0.51</v>
      </c>
    </row>
    <row r="95" spans="1:12" x14ac:dyDescent="0.2">
      <c r="A95" s="2" t="s">
        <v>206</v>
      </c>
      <c r="B95" s="3" t="s">
        <v>207</v>
      </c>
      <c r="C95" s="3" t="s">
        <v>30</v>
      </c>
      <c r="D95" s="4">
        <v>96</v>
      </c>
      <c r="E95" s="4">
        <v>14</v>
      </c>
      <c r="F95" s="4">
        <v>20</v>
      </c>
      <c r="G95" s="4">
        <v>31</v>
      </c>
      <c r="H95" s="4">
        <v>44</v>
      </c>
      <c r="I95" s="5">
        <f t="shared" si="3"/>
        <v>205</v>
      </c>
      <c r="J95" s="5">
        <v>500</v>
      </c>
      <c r="K95" s="6">
        <f t="shared" si="4"/>
        <v>0.41</v>
      </c>
      <c r="L95" s="7">
        <f t="shared" si="5"/>
        <v>0.59000000000000008</v>
      </c>
    </row>
    <row r="96" spans="1:12" x14ac:dyDescent="0.2">
      <c r="A96" s="2" t="s">
        <v>208</v>
      </c>
      <c r="B96" s="3" t="s">
        <v>209</v>
      </c>
      <c r="C96" s="3" t="s">
        <v>33</v>
      </c>
      <c r="D96" s="4">
        <v>37</v>
      </c>
      <c r="E96" s="4">
        <v>60</v>
      </c>
      <c r="F96" s="4">
        <v>50</v>
      </c>
      <c r="G96" s="4">
        <v>68</v>
      </c>
      <c r="H96" s="4">
        <v>19</v>
      </c>
      <c r="I96" s="5">
        <f t="shared" si="3"/>
        <v>234</v>
      </c>
      <c r="J96" s="5">
        <v>500</v>
      </c>
      <c r="K96" s="6">
        <f t="shared" si="4"/>
        <v>0.46800000000000003</v>
      </c>
      <c r="L96" s="7">
        <f t="shared" si="5"/>
        <v>0.53200000000000003</v>
      </c>
    </row>
    <row r="97" spans="1:12" x14ac:dyDescent="0.2">
      <c r="A97" s="2" t="s">
        <v>210</v>
      </c>
      <c r="B97" s="3" t="s">
        <v>211</v>
      </c>
      <c r="C97" s="3" t="s">
        <v>6</v>
      </c>
      <c r="D97" s="4">
        <v>35</v>
      </c>
      <c r="E97" s="4">
        <v>79</v>
      </c>
      <c r="F97" s="4">
        <v>17</v>
      </c>
      <c r="G97" s="4">
        <v>85</v>
      </c>
      <c r="H97" s="4">
        <v>16</v>
      </c>
      <c r="I97" s="5">
        <f t="shared" si="3"/>
        <v>232</v>
      </c>
      <c r="J97" s="5">
        <v>500</v>
      </c>
      <c r="K97" s="6">
        <f t="shared" si="4"/>
        <v>0.46400000000000002</v>
      </c>
      <c r="L97" s="7">
        <f t="shared" si="5"/>
        <v>0.53600000000000003</v>
      </c>
    </row>
    <row r="98" spans="1:12" x14ac:dyDescent="0.2">
      <c r="A98" s="2" t="s">
        <v>212</v>
      </c>
      <c r="B98" s="3" t="s">
        <v>213</v>
      </c>
      <c r="C98" s="3" t="s">
        <v>1</v>
      </c>
      <c r="D98" s="4">
        <v>31</v>
      </c>
      <c r="E98" s="4">
        <v>48</v>
      </c>
      <c r="F98" s="4">
        <v>56</v>
      </c>
      <c r="G98" s="4">
        <v>85</v>
      </c>
      <c r="H98" s="4">
        <v>25</v>
      </c>
      <c r="I98" s="5">
        <f t="shared" si="3"/>
        <v>245</v>
      </c>
      <c r="J98" s="5">
        <v>500</v>
      </c>
      <c r="K98" s="6">
        <f t="shared" si="4"/>
        <v>0.49</v>
      </c>
      <c r="L98" s="7">
        <f t="shared" si="5"/>
        <v>0.51</v>
      </c>
    </row>
    <row r="99" spans="1:12" x14ac:dyDescent="0.2">
      <c r="A99" s="2" t="s">
        <v>214</v>
      </c>
      <c r="B99" s="3" t="s">
        <v>215</v>
      </c>
      <c r="C99" s="3" t="s">
        <v>3</v>
      </c>
      <c r="D99" s="4">
        <v>23</v>
      </c>
      <c r="E99" s="4">
        <v>83</v>
      </c>
      <c r="F99" s="4">
        <v>86</v>
      </c>
      <c r="G99" s="4">
        <v>69</v>
      </c>
      <c r="H99" s="4">
        <v>25</v>
      </c>
      <c r="I99" s="5">
        <f t="shared" si="3"/>
        <v>286</v>
      </c>
      <c r="J99" s="5">
        <v>500</v>
      </c>
      <c r="K99" s="6">
        <f t="shared" si="4"/>
        <v>0.57199999999999995</v>
      </c>
      <c r="L99" s="7">
        <f t="shared" si="5"/>
        <v>0.42800000000000005</v>
      </c>
    </row>
    <row r="100" spans="1:12" x14ac:dyDescent="0.2">
      <c r="A100" s="2" t="s">
        <v>216</v>
      </c>
      <c r="B100" s="3" t="s">
        <v>217</v>
      </c>
      <c r="C100" s="3" t="s">
        <v>4</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
      <c r="A101" s="2" t="s">
        <v>218</v>
      </c>
      <c r="B101" s="3" t="s">
        <v>219</v>
      </c>
      <c r="C101" s="3" t="s">
        <v>2</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
      <c r="A102" s="2" t="s">
        <v>220</v>
      </c>
      <c r="B102" s="3" t="s">
        <v>221</v>
      </c>
      <c r="C102" s="3" t="s">
        <v>5</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
      <c r="A103" s="2" t="s">
        <v>222</v>
      </c>
      <c r="B103" s="3" t="s">
        <v>223</v>
      </c>
      <c r="C103" s="3" t="s">
        <v>30</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
      <c r="A104" s="2" t="s">
        <v>224</v>
      </c>
      <c r="B104" s="3" t="s">
        <v>225</v>
      </c>
      <c r="C104" s="3" t="s">
        <v>33</v>
      </c>
      <c r="D104" s="4">
        <v>55</v>
      </c>
      <c r="E104" s="4">
        <v>14</v>
      </c>
      <c r="F104" s="4">
        <v>41</v>
      </c>
      <c r="G104" s="4">
        <v>40</v>
      </c>
      <c r="H104" s="4">
        <v>70</v>
      </c>
      <c r="I104" s="5">
        <f t="shared" si="3"/>
        <v>220</v>
      </c>
      <c r="J104" s="5">
        <v>500</v>
      </c>
      <c r="K104" s="6">
        <f t="shared" si="4"/>
        <v>0.44</v>
      </c>
      <c r="L104" s="7">
        <f t="shared" si="5"/>
        <v>0.56000000000000005</v>
      </c>
    </row>
    <row r="105" spans="1:12" x14ac:dyDescent="0.2">
      <c r="A105" s="2" t="s">
        <v>226</v>
      </c>
      <c r="B105" s="3" t="s">
        <v>227</v>
      </c>
      <c r="C105" s="3" t="s">
        <v>6</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
      <c r="A106" s="2" t="s">
        <v>228</v>
      </c>
      <c r="B106" s="3" t="s">
        <v>229</v>
      </c>
      <c r="C106" s="3" t="s">
        <v>1</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
      <c r="A107" s="2" t="s">
        <v>230</v>
      </c>
      <c r="B107" s="3" t="s">
        <v>231</v>
      </c>
      <c r="C107" s="3" t="s">
        <v>3</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
      <c r="A108" s="2" t="s">
        <v>232</v>
      </c>
      <c r="B108" s="3" t="s">
        <v>233</v>
      </c>
      <c r="C108" s="3" t="s">
        <v>4</v>
      </c>
      <c r="D108" s="4">
        <v>61</v>
      </c>
      <c r="E108" s="4">
        <v>91</v>
      </c>
      <c r="F108" s="4">
        <v>53</v>
      </c>
      <c r="G108" s="4">
        <v>78</v>
      </c>
      <c r="H108" s="4">
        <v>91</v>
      </c>
      <c r="I108" s="5">
        <f t="shared" si="3"/>
        <v>374</v>
      </c>
      <c r="J108" s="5">
        <v>500</v>
      </c>
      <c r="K108" s="6">
        <f t="shared" si="4"/>
        <v>0.748</v>
      </c>
      <c r="L108" s="7">
        <f t="shared" si="5"/>
        <v>0.252</v>
      </c>
    </row>
    <row r="109" spans="1:12" x14ac:dyDescent="0.2">
      <c r="A109" s="2" t="s">
        <v>234</v>
      </c>
      <c r="B109" s="3" t="s">
        <v>235</v>
      </c>
      <c r="C109" s="3" t="s">
        <v>2</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
      <c r="A110" s="2" t="s">
        <v>236</v>
      </c>
      <c r="B110" s="3" t="s">
        <v>237</v>
      </c>
      <c r="C110" s="3" t="s">
        <v>5</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
      <c r="A111" s="2" t="s">
        <v>238</v>
      </c>
      <c r="B111" s="3" t="s">
        <v>239</v>
      </c>
      <c r="C111" s="3" t="s">
        <v>30</v>
      </c>
      <c r="D111" s="4">
        <v>83</v>
      </c>
      <c r="E111" s="4">
        <v>62</v>
      </c>
      <c r="F111" s="4">
        <v>32</v>
      </c>
      <c r="G111" s="4">
        <v>83</v>
      </c>
      <c r="H111" s="4">
        <v>95</v>
      </c>
      <c r="I111" s="5">
        <f t="shared" si="3"/>
        <v>355</v>
      </c>
      <c r="J111" s="5">
        <v>500</v>
      </c>
      <c r="K111" s="6">
        <f t="shared" si="4"/>
        <v>0.71</v>
      </c>
      <c r="L111" s="7">
        <f t="shared" si="5"/>
        <v>0.29000000000000004</v>
      </c>
    </row>
    <row r="112" spans="1:12" x14ac:dyDescent="0.2">
      <c r="A112" s="2" t="s">
        <v>240</v>
      </c>
      <c r="B112" s="3" t="s">
        <v>241</v>
      </c>
      <c r="C112" s="3" t="s">
        <v>33</v>
      </c>
      <c r="D112" s="4">
        <v>39</v>
      </c>
      <c r="E112" s="4">
        <v>52</v>
      </c>
      <c r="F112" s="4">
        <v>72</v>
      </c>
      <c r="G112" s="4">
        <v>99</v>
      </c>
      <c r="H112" s="4">
        <v>58</v>
      </c>
      <c r="I112" s="5">
        <f t="shared" si="3"/>
        <v>320</v>
      </c>
      <c r="J112" s="5">
        <v>500</v>
      </c>
      <c r="K112" s="6">
        <f t="shared" si="4"/>
        <v>0.64</v>
      </c>
      <c r="L112" s="7">
        <f t="shared" si="5"/>
        <v>0.36</v>
      </c>
    </row>
    <row r="113" spans="1:12" x14ac:dyDescent="0.2">
      <c r="A113" s="2" t="s">
        <v>242</v>
      </c>
      <c r="B113" s="3" t="s">
        <v>243</v>
      </c>
      <c r="C113" s="3" t="s">
        <v>6</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
      <c r="A114" s="2" t="s">
        <v>244</v>
      </c>
      <c r="B114" s="3" t="s">
        <v>245</v>
      </c>
      <c r="C114" s="3" t="s">
        <v>1</v>
      </c>
      <c r="D114" s="4">
        <v>43</v>
      </c>
      <c r="E114" s="4">
        <v>88</v>
      </c>
      <c r="F114" s="4">
        <v>35</v>
      </c>
      <c r="G114" s="4">
        <v>54</v>
      </c>
      <c r="H114" s="4">
        <v>91</v>
      </c>
      <c r="I114" s="5">
        <f t="shared" si="3"/>
        <v>311</v>
      </c>
      <c r="J114" s="5">
        <v>500</v>
      </c>
      <c r="K114" s="6">
        <f t="shared" si="4"/>
        <v>0.622</v>
      </c>
      <c r="L114" s="7">
        <f t="shared" si="5"/>
        <v>0.378</v>
      </c>
    </row>
    <row r="115" spans="1:12" x14ac:dyDescent="0.2">
      <c r="A115" s="2" t="s">
        <v>246</v>
      </c>
      <c r="B115" s="3" t="s">
        <v>247</v>
      </c>
      <c r="C115" s="3" t="s">
        <v>3</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
      <c r="A116" s="2" t="s">
        <v>248</v>
      </c>
      <c r="B116" s="3" t="s">
        <v>249</v>
      </c>
      <c r="C116" s="3" t="s">
        <v>4</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
      <c r="A117" s="2" t="s">
        <v>250</v>
      </c>
      <c r="B117" s="3" t="s">
        <v>251</v>
      </c>
      <c r="C117" s="3" t="s">
        <v>2</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
      <c r="A118" s="2" t="s">
        <v>252</v>
      </c>
      <c r="B118" s="3" t="s">
        <v>253</v>
      </c>
      <c r="C118" s="3" t="s">
        <v>5</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
      <c r="A119" s="2" t="s">
        <v>254</v>
      </c>
      <c r="B119" s="3" t="s">
        <v>255</v>
      </c>
      <c r="C119" s="3" t="s">
        <v>30</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
      <c r="A120" s="2" t="s">
        <v>256</v>
      </c>
      <c r="B120" s="3" t="s">
        <v>257</v>
      </c>
      <c r="C120" s="3" t="s">
        <v>33</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
      <c r="A121" s="2" t="s">
        <v>258</v>
      </c>
      <c r="B121" s="3" t="s">
        <v>259</v>
      </c>
      <c r="C121" s="3" t="s">
        <v>6</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
      <c r="A122" s="2" t="s">
        <v>260</v>
      </c>
      <c r="B122" s="3" t="s">
        <v>261</v>
      </c>
      <c r="C122" s="3" t="s">
        <v>1</v>
      </c>
      <c r="D122" s="4">
        <v>91</v>
      </c>
      <c r="E122" s="4">
        <v>38</v>
      </c>
      <c r="F122" s="4">
        <v>33</v>
      </c>
      <c r="G122" s="4">
        <v>55</v>
      </c>
      <c r="H122" s="4">
        <v>83</v>
      </c>
      <c r="I122" s="5">
        <f t="shared" si="3"/>
        <v>300</v>
      </c>
      <c r="J122" s="5">
        <v>500</v>
      </c>
      <c r="K122" s="6">
        <f t="shared" si="4"/>
        <v>0.6</v>
      </c>
      <c r="L122" s="7">
        <f t="shared" si="5"/>
        <v>0.4</v>
      </c>
    </row>
    <row r="123" spans="1:12" x14ac:dyDescent="0.2">
      <c r="A123" s="2" t="s">
        <v>262</v>
      </c>
      <c r="B123" s="3" t="s">
        <v>263</v>
      </c>
      <c r="C123" s="3" t="s">
        <v>3</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
      <c r="A124" s="2" t="s">
        <v>264</v>
      </c>
      <c r="B124" s="3" t="s">
        <v>265</v>
      </c>
      <c r="C124" s="3" t="s">
        <v>4</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
      <c r="A125" s="2" t="s">
        <v>266</v>
      </c>
      <c r="B125" s="3" t="s">
        <v>267</v>
      </c>
      <c r="C125" s="3" t="s">
        <v>2</v>
      </c>
      <c r="D125" s="4">
        <v>26</v>
      </c>
      <c r="E125" s="4">
        <v>16</v>
      </c>
      <c r="F125" s="4">
        <v>61</v>
      </c>
      <c r="G125" s="4">
        <v>92</v>
      </c>
      <c r="H125" s="4">
        <v>50</v>
      </c>
      <c r="I125" s="5">
        <f t="shared" si="3"/>
        <v>245</v>
      </c>
      <c r="J125" s="5">
        <v>500</v>
      </c>
      <c r="K125" s="6">
        <f t="shared" si="4"/>
        <v>0.49</v>
      </c>
      <c r="L125" s="7">
        <f t="shared" si="5"/>
        <v>0.51</v>
      </c>
    </row>
    <row r="126" spans="1:12" x14ac:dyDescent="0.2">
      <c r="A126" s="2" t="s">
        <v>268</v>
      </c>
      <c r="B126" s="3" t="s">
        <v>269</v>
      </c>
      <c r="C126" s="3" t="s">
        <v>5</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
      <c r="A127" s="2" t="s">
        <v>270</v>
      </c>
      <c r="B127" s="3" t="s">
        <v>271</v>
      </c>
      <c r="C127" s="3" t="s">
        <v>30</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
      <c r="A128" s="2" t="s">
        <v>272</v>
      </c>
      <c r="B128" s="3" t="s">
        <v>273</v>
      </c>
      <c r="C128" s="3" t="s">
        <v>33</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
      <c r="A129" s="2" t="s">
        <v>274</v>
      </c>
      <c r="B129" s="3" t="s">
        <v>275</v>
      </c>
      <c r="C129" s="3" t="s">
        <v>6</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
      <c r="A130" s="2" t="s">
        <v>276</v>
      </c>
      <c r="B130" s="3" t="s">
        <v>277</v>
      </c>
      <c r="C130" s="3" t="s">
        <v>1</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
      <c r="A131" s="2" t="s">
        <v>278</v>
      </c>
      <c r="B131" s="3" t="s">
        <v>279</v>
      </c>
      <c r="C131" s="3" t="s">
        <v>3</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
      <c r="A132" s="2" t="s">
        <v>280</v>
      </c>
      <c r="B132" s="3" t="s">
        <v>281</v>
      </c>
      <c r="C132" s="3" t="s">
        <v>4</v>
      </c>
      <c r="D132" s="4">
        <v>90</v>
      </c>
      <c r="E132" s="4">
        <v>79</v>
      </c>
      <c r="F132" s="4">
        <v>99</v>
      </c>
      <c r="G132" s="4">
        <v>60</v>
      </c>
      <c r="H132" s="4">
        <v>27</v>
      </c>
      <c r="I132" s="5">
        <f t="shared" si="6"/>
        <v>355</v>
      </c>
      <c r="J132" s="5">
        <v>500</v>
      </c>
      <c r="K132" s="6">
        <f t="shared" si="7"/>
        <v>0.71</v>
      </c>
      <c r="L132" s="7">
        <f t="shared" si="8"/>
        <v>0.29000000000000004</v>
      </c>
    </row>
    <row r="133" spans="1:12" x14ac:dyDescent="0.2">
      <c r="A133" s="2" t="s">
        <v>282</v>
      </c>
      <c r="B133" s="3" t="s">
        <v>283</v>
      </c>
      <c r="C133" s="3" t="s">
        <v>2</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
      <c r="A134" s="2" t="s">
        <v>284</v>
      </c>
      <c r="B134" s="3" t="s">
        <v>285</v>
      </c>
      <c r="C134" s="3" t="s">
        <v>5</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
      <c r="A135" s="2" t="s">
        <v>286</v>
      </c>
      <c r="B135" s="3" t="s">
        <v>287</v>
      </c>
      <c r="C135" s="3" t="s">
        <v>30</v>
      </c>
      <c r="D135" s="4">
        <v>68</v>
      </c>
      <c r="E135" s="4">
        <v>61</v>
      </c>
      <c r="F135" s="4">
        <v>12</v>
      </c>
      <c r="G135" s="4">
        <v>41</v>
      </c>
      <c r="H135" s="4">
        <v>35</v>
      </c>
      <c r="I135" s="5">
        <f t="shared" si="6"/>
        <v>217</v>
      </c>
      <c r="J135" s="5">
        <v>500</v>
      </c>
      <c r="K135" s="6">
        <f t="shared" si="7"/>
        <v>0.434</v>
      </c>
      <c r="L135" s="7">
        <f t="shared" si="8"/>
        <v>0.56600000000000006</v>
      </c>
    </row>
    <row r="136" spans="1:12" x14ac:dyDescent="0.2">
      <c r="A136" s="2" t="s">
        <v>288</v>
      </c>
      <c r="B136" s="3" t="s">
        <v>289</v>
      </c>
      <c r="C136" s="3" t="s">
        <v>33</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
      <c r="A137" s="2" t="s">
        <v>290</v>
      </c>
      <c r="B137" s="3" t="s">
        <v>291</v>
      </c>
      <c r="C137" s="3" t="s">
        <v>6</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
      <c r="A138" s="2" t="s">
        <v>292</v>
      </c>
      <c r="B138" s="3" t="s">
        <v>293</v>
      </c>
      <c r="C138" s="3" t="s">
        <v>1</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
      <c r="A139" s="2" t="s">
        <v>294</v>
      </c>
      <c r="B139" s="3" t="s">
        <v>295</v>
      </c>
      <c r="C139" s="3" t="s">
        <v>3</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
      <c r="A140" s="2" t="s">
        <v>296</v>
      </c>
      <c r="B140" s="3" t="s">
        <v>297</v>
      </c>
      <c r="C140" s="3" t="s">
        <v>4</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
      <c r="A141" s="2" t="s">
        <v>298</v>
      </c>
      <c r="B141" s="3" t="s">
        <v>299</v>
      </c>
      <c r="C141" s="3" t="s">
        <v>2</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
      <c r="A142" s="2" t="s">
        <v>300</v>
      </c>
      <c r="B142" s="3" t="s">
        <v>301</v>
      </c>
      <c r="C142" s="3" t="s">
        <v>5</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N289"/>
  <sheetViews>
    <sheetView showGridLines="0" showRowColHeaders="0" tabSelected="1" zoomScale="85" zoomScaleNormal="85" workbookViewId="0">
      <selection activeCell="F42" sqref="F42"/>
    </sheetView>
  </sheetViews>
  <sheetFormatPr defaultRowHeight="14.25" x14ac:dyDescent="0.2"/>
  <cols>
    <col min="1" max="1" width="3.375" customWidth="1"/>
    <col min="2" max="2" width="20.25" bestFit="1" customWidth="1"/>
    <col min="3" max="3" width="13.125" bestFit="1" customWidth="1"/>
    <col min="5" max="5" width="15.125" bestFit="1" customWidth="1"/>
    <col min="6" max="6" width="17.625" bestFit="1" customWidth="1"/>
    <col min="7" max="7" width="15.25" customWidth="1"/>
    <col min="8" max="8" width="17.25" bestFit="1" customWidth="1"/>
    <col min="9" max="9" width="12.375" bestFit="1" customWidth="1"/>
    <col min="10" max="10" width="12.125" style="9" bestFit="1" customWidth="1"/>
    <col min="11" max="11" width="19.625" style="11" bestFit="1" customWidth="1"/>
    <col min="12" max="12" width="19.5" bestFit="1" customWidth="1"/>
    <col min="13" max="13" width="4" style="9" customWidth="1"/>
  </cols>
  <sheetData>
    <row r="1" spans="1:13" x14ac:dyDescent="0.2">
      <c r="A1" s="32"/>
      <c r="B1" s="29"/>
      <c r="C1" s="29"/>
      <c r="D1" s="29"/>
      <c r="E1" s="29"/>
      <c r="F1" s="29"/>
      <c r="G1" s="29"/>
      <c r="H1" s="29"/>
      <c r="I1" s="29"/>
      <c r="J1" s="30"/>
      <c r="K1" s="29"/>
      <c r="L1" s="29"/>
      <c r="M1" s="31"/>
    </row>
    <row r="2" spans="1:13" s="10" customFormat="1" ht="39.75" customHeight="1" x14ac:dyDescent="0.25">
      <c r="A2" s="33"/>
      <c r="B2" s="20" t="b">
        <v>0</v>
      </c>
      <c r="C2" s="20"/>
      <c r="D2" s="20"/>
      <c r="E2" s="20" t="b">
        <v>1</v>
      </c>
      <c r="F2" s="20"/>
      <c r="G2" s="20"/>
      <c r="H2" s="20"/>
      <c r="I2" s="20" t="b">
        <v>1</v>
      </c>
      <c r="J2" s="20"/>
      <c r="K2" s="20"/>
      <c r="L2" s="20" t="b">
        <v>1</v>
      </c>
      <c r="M2" s="27"/>
    </row>
    <row r="3" spans="1:13" s="10" customFormat="1" ht="33" customHeight="1" x14ac:dyDescent="0.2">
      <c r="A3" s="33"/>
      <c r="B3" s="13"/>
      <c r="C3" s="13"/>
      <c r="D3" s="13"/>
      <c r="E3" s="13"/>
      <c r="F3" s="13"/>
      <c r="G3" s="13"/>
      <c r="H3" s="13"/>
      <c r="I3" s="13"/>
      <c r="J3" s="13"/>
      <c r="K3" s="13"/>
      <c r="L3" s="13"/>
      <c r="M3" s="27"/>
    </row>
    <row r="4" spans="1:13" s="10" customFormat="1" x14ac:dyDescent="0.2">
      <c r="A4" s="33"/>
      <c r="B4" s="40"/>
      <c r="C4" s="40"/>
      <c r="D4" s="40"/>
      <c r="E4" s="40"/>
      <c r="F4" s="40"/>
      <c r="G4" s="40"/>
      <c r="H4" s="40"/>
      <c r="I4" s="40"/>
      <c r="J4" s="40"/>
      <c r="K4" s="40"/>
      <c r="L4" s="40"/>
      <c r="M4" s="27"/>
    </row>
    <row r="5" spans="1:13" s="12" customFormat="1" x14ac:dyDescent="0.2">
      <c r="A5" s="34"/>
      <c r="B5" s="14"/>
      <c r="C5" s="14"/>
      <c r="D5" s="14"/>
      <c r="E5" s="14"/>
      <c r="F5" s="14"/>
      <c r="G5" s="14"/>
      <c r="H5" s="14"/>
      <c r="I5" s="14"/>
      <c r="J5" s="14"/>
      <c r="K5" s="14"/>
      <c r="L5" s="14"/>
      <c r="M5" s="27"/>
    </row>
    <row r="6" spans="1:13" s="12" customFormat="1" x14ac:dyDescent="0.2">
      <c r="A6" s="34"/>
      <c r="B6" s="14"/>
      <c r="C6" s="14"/>
      <c r="D6" s="14"/>
      <c r="E6" s="14"/>
      <c r="F6" s="14"/>
      <c r="G6" s="14"/>
      <c r="H6" s="14"/>
      <c r="I6" s="14"/>
      <c r="J6" s="14"/>
      <c r="K6" s="14"/>
      <c r="L6" s="14"/>
      <c r="M6" s="27"/>
    </row>
    <row r="7" spans="1:13" s="12" customFormat="1" x14ac:dyDescent="0.2">
      <c r="A7" s="34"/>
      <c r="B7" s="14"/>
      <c r="C7" s="14"/>
      <c r="D7" s="14"/>
      <c r="E7" s="14"/>
      <c r="F7" s="14"/>
      <c r="G7" s="14"/>
      <c r="H7" s="14"/>
      <c r="I7" s="14"/>
      <c r="J7" s="14"/>
      <c r="K7" s="14"/>
      <c r="L7" s="14"/>
      <c r="M7" s="27"/>
    </row>
    <row r="8" spans="1:13" x14ac:dyDescent="0.2">
      <c r="A8" s="32"/>
      <c r="B8" s="15"/>
      <c r="C8" s="15"/>
      <c r="D8" s="15"/>
      <c r="E8" s="15"/>
      <c r="F8" s="15"/>
      <c r="G8" s="15"/>
      <c r="H8" s="15"/>
      <c r="I8" s="15"/>
      <c r="J8" s="16"/>
      <c r="K8" s="17"/>
      <c r="L8" s="15"/>
      <c r="M8" s="27"/>
    </row>
    <row r="9" spans="1:13" x14ac:dyDescent="0.2">
      <c r="A9" s="32"/>
      <c r="B9" s="36" t="s">
        <v>8</v>
      </c>
      <c r="C9" s="36" t="s">
        <v>304</v>
      </c>
      <c r="D9" s="18"/>
      <c r="E9" s="22" t="s">
        <v>302</v>
      </c>
      <c r="F9" t="s">
        <v>303</v>
      </c>
      <c r="G9" s="18"/>
      <c r="H9" s="36" t="s">
        <v>8</v>
      </c>
      <c r="I9" s="39" t="s">
        <v>305</v>
      </c>
      <c r="J9" s="19"/>
      <c r="K9" s="36" t="s">
        <v>8</v>
      </c>
      <c r="L9" s="39" t="s">
        <v>306</v>
      </c>
      <c r="M9" s="27"/>
    </row>
    <row r="10" spans="1:13" x14ac:dyDescent="0.2">
      <c r="A10" s="32"/>
      <c r="B10" s="37" t="s">
        <v>295</v>
      </c>
      <c r="C10" s="38">
        <v>382</v>
      </c>
      <c r="D10" s="18"/>
      <c r="E10" s="23" t="s">
        <v>281</v>
      </c>
      <c r="F10" s="24">
        <v>355</v>
      </c>
      <c r="G10" s="18"/>
      <c r="H10" s="37" t="s">
        <v>281</v>
      </c>
      <c r="I10" s="39">
        <v>0.71</v>
      </c>
      <c r="J10" s="19"/>
      <c r="K10" s="37" t="s">
        <v>265</v>
      </c>
      <c r="L10" s="39">
        <v>0.55200000000000005</v>
      </c>
      <c r="M10" s="27"/>
    </row>
    <row r="11" spans="1:13" x14ac:dyDescent="0.2">
      <c r="A11" s="32"/>
      <c r="B11" s="37" t="s">
        <v>23</v>
      </c>
      <c r="C11" s="38">
        <v>379</v>
      </c>
      <c r="D11" s="18"/>
      <c r="E11" s="23" t="s">
        <v>23</v>
      </c>
      <c r="F11" s="24">
        <v>379</v>
      </c>
      <c r="G11" s="18"/>
      <c r="H11" s="37" t="s">
        <v>23</v>
      </c>
      <c r="I11" s="39">
        <v>0.75800000000000001</v>
      </c>
      <c r="J11" s="19"/>
      <c r="K11" s="37" t="s">
        <v>249</v>
      </c>
      <c r="L11" s="39">
        <v>0.57200000000000006</v>
      </c>
      <c r="M11" s="27"/>
    </row>
    <row r="12" spans="1:13" x14ac:dyDescent="0.2">
      <c r="A12" s="32"/>
      <c r="B12" s="37" t="s">
        <v>243</v>
      </c>
      <c r="C12" s="38">
        <v>389</v>
      </c>
      <c r="D12" s="18"/>
      <c r="E12" s="23" t="s">
        <v>233</v>
      </c>
      <c r="F12" s="24">
        <v>374</v>
      </c>
      <c r="G12" s="18"/>
      <c r="H12" s="37" t="s">
        <v>233</v>
      </c>
      <c r="I12" s="39">
        <v>0.748</v>
      </c>
      <c r="J12" s="19"/>
      <c r="K12" s="37" t="s">
        <v>169</v>
      </c>
      <c r="L12" s="39">
        <v>0.55200000000000005</v>
      </c>
      <c r="M12" s="27"/>
    </row>
    <row r="13" spans="1:13" x14ac:dyDescent="0.2">
      <c r="A13" s="32"/>
      <c r="B13" s="37" t="s">
        <v>187</v>
      </c>
      <c r="C13" s="38">
        <v>384</v>
      </c>
      <c r="D13" s="18"/>
      <c r="E13" s="23" t="s">
        <v>153</v>
      </c>
      <c r="F13" s="24">
        <v>342</v>
      </c>
      <c r="G13" s="18"/>
      <c r="H13" s="37" t="s">
        <v>153</v>
      </c>
      <c r="I13" s="39">
        <v>0.68400000000000005</v>
      </c>
      <c r="J13" s="19"/>
      <c r="K13" s="37" t="s">
        <v>105</v>
      </c>
      <c r="L13" s="39">
        <v>0.58800000000000008</v>
      </c>
      <c r="M13" s="27"/>
    </row>
    <row r="14" spans="1:13" x14ac:dyDescent="0.2">
      <c r="A14" s="32"/>
      <c r="B14" s="37" t="s">
        <v>147</v>
      </c>
      <c r="C14" s="38">
        <v>385</v>
      </c>
      <c r="D14" s="18"/>
      <c r="E14" s="23" t="s">
        <v>73</v>
      </c>
      <c r="F14" s="24">
        <v>357</v>
      </c>
      <c r="G14" s="18"/>
      <c r="H14" s="37" t="s">
        <v>73</v>
      </c>
      <c r="I14" s="39">
        <v>0.71399999999999997</v>
      </c>
      <c r="J14" s="19"/>
      <c r="K14" s="37" t="s">
        <v>41</v>
      </c>
      <c r="L14" s="39">
        <v>0.56200000000000006</v>
      </c>
      <c r="M14" s="27"/>
    </row>
    <row r="15" spans="1:13" x14ac:dyDescent="0.2">
      <c r="A15" s="32"/>
      <c r="D15" s="18"/>
      <c r="G15" s="18"/>
      <c r="J15" s="19"/>
      <c r="K15"/>
      <c r="M15" s="27"/>
    </row>
    <row r="16" spans="1:13" x14ac:dyDescent="0.2">
      <c r="A16" s="32"/>
      <c r="B16" s="15"/>
      <c r="C16" s="15"/>
      <c r="D16" s="15"/>
      <c r="E16" s="15"/>
      <c r="F16" s="15"/>
      <c r="G16" s="15"/>
      <c r="H16" s="15"/>
      <c r="I16" s="15"/>
      <c r="J16" s="15"/>
      <c r="K16" s="17"/>
      <c r="L16" s="15"/>
      <c r="M16" s="27"/>
    </row>
    <row r="17" spans="1:13" x14ac:dyDescent="0.2">
      <c r="A17" s="32"/>
      <c r="B17" s="15"/>
      <c r="C17" s="15"/>
      <c r="D17" s="15"/>
      <c r="E17" s="15"/>
      <c r="F17" s="15"/>
      <c r="G17" s="15"/>
      <c r="H17" s="15"/>
      <c r="I17" s="15"/>
      <c r="J17" s="15"/>
      <c r="K17" s="17"/>
      <c r="L17" s="15"/>
      <c r="M17" s="27"/>
    </row>
    <row r="18" spans="1:13" x14ac:dyDescent="0.2">
      <c r="A18" s="32"/>
      <c r="B18" s="15"/>
      <c r="C18" s="15"/>
      <c r="D18" s="15"/>
      <c r="E18" s="15"/>
      <c r="F18" s="15"/>
      <c r="G18" s="15"/>
      <c r="H18" s="15"/>
      <c r="I18" s="15"/>
      <c r="J18" s="15"/>
      <c r="K18" s="17"/>
      <c r="L18" s="15"/>
      <c r="M18" s="27"/>
    </row>
    <row r="19" spans="1:13" x14ac:dyDescent="0.2">
      <c r="A19" s="32"/>
      <c r="B19" s="15"/>
      <c r="C19" s="15"/>
      <c r="D19" s="15"/>
      <c r="E19" s="15"/>
      <c r="F19" s="15"/>
      <c r="G19" s="15"/>
      <c r="H19" s="15"/>
      <c r="I19" s="15"/>
      <c r="J19" s="16"/>
      <c r="K19" s="17"/>
      <c r="L19" s="15"/>
      <c r="M19" s="27"/>
    </row>
    <row r="20" spans="1:13" x14ac:dyDescent="0.2">
      <c r="A20" s="32"/>
      <c r="B20" s="15"/>
      <c r="C20" s="15"/>
      <c r="D20" s="15"/>
      <c r="E20" s="15"/>
      <c r="F20" s="15"/>
      <c r="G20" s="15"/>
      <c r="H20" s="15"/>
      <c r="I20" s="15"/>
      <c r="J20" s="16"/>
      <c r="K20" s="17"/>
      <c r="L20" s="15"/>
      <c r="M20" s="27"/>
    </row>
    <row r="21" spans="1:13" x14ac:dyDescent="0.2">
      <c r="A21" s="32"/>
      <c r="B21" s="15"/>
      <c r="C21" s="15"/>
      <c r="D21" s="15"/>
      <c r="E21" s="15"/>
      <c r="F21" s="15"/>
      <c r="G21" s="15"/>
      <c r="H21" s="15"/>
      <c r="I21" s="15"/>
      <c r="J21" s="16"/>
      <c r="K21" s="17"/>
      <c r="L21" s="15"/>
      <c r="M21" s="27"/>
    </row>
    <row r="22" spans="1:13" x14ac:dyDescent="0.2">
      <c r="A22" s="32"/>
      <c r="B22" s="15"/>
      <c r="C22" s="15"/>
      <c r="D22" s="15"/>
      <c r="E22" s="15"/>
      <c r="F22" s="15"/>
      <c r="G22" s="15"/>
      <c r="H22" s="15"/>
      <c r="I22" s="15"/>
      <c r="J22" s="16"/>
      <c r="K22" s="17"/>
      <c r="L22" s="15"/>
      <c r="M22" s="27"/>
    </row>
    <row r="23" spans="1:13" x14ac:dyDescent="0.2">
      <c r="A23" s="32"/>
      <c r="B23" s="15"/>
      <c r="C23" s="15"/>
      <c r="D23" s="15"/>
      <c r="E23" s="15"/>
      <c r="F23" s="15"/>
      <c r="G23" s="15"/>
      <c r="H23" s="15"/>
      <c r="I23" s="15"/>
      <c r="J23" s="16"/>
      <c r="K23" s="17"/>
      <c r="L23" s="15"/>
      <c r="M23" s="27"/>
    </row>
    <row r="24" spans="1:13" x14ac:dyDescent="0.2">
      <c r="A24" s="32"/>
      <c r="B24" s="15"/>
      <c r="C24" s="15"/>
      <c r="D24" s="15"/>
      <c r="E24" s="15"/>
      <c r="F24" s="15"/>
      <c r="G24" s="15"/>
      <c r="H24" s="15"/>
      <c r="I24" s="15"/>
      <c r="J24" s="16"/>
      <c r="K24" s="17"/>
      <c r="L24" s="15"/>
      <c r="M24" s="27"/>
    </row>
    <row r="25" spans="1:13" x14ac:dyDescent="0.2">
      <c r="A25" s="32"/>
      <c r="B25" s="15"/>
      <c r="C25" s="15"/>
      <c r="D25" s="15"/>
      <c r="E25" s="15"/>
      <c r="F25" s="15"/>
      <c r="G25" s="15"/>
      <c r="H25" s="15"/>
      <c r="I25" s="15"/>
      <c r="J25" s="16"/>
      <c r="K25" s="17"/>
      <c r="L25" s="15"/>
      <c r="M25" s="27"/>
    </row>
    <row r="26" spans="1:13" x14ac:dyDescent="0.2">
      <c r="A26" s="32"/>
      <c r="B26" s="15"/>
      <c r="C26" s="15"/>
      <c r="D26" s="15"/>
      <c r="E26" s="15"/>
      <c r="F26" s="15"/>
      <c r="G26" s="15"/>
      <c r="H26" s="15"/>
      <c r="I26" s="15"/>
      <c r="J26" s="16"/>
      <c r="K26" s="17"/>
      <c r="L26" s="15"/>
      <c r="M26" s="27"/>
    </row>
    <row r="27" spans="1:13" x14ac:dyDescent="0.2">
      <c r="A27" s="32"/>
      <c r="B27" s="15"/>
      <c r="C27" s="15"/>
      <c r="D27" s="15"/>
      <c r="E27" s="15"/>
      <c r="F27" s="15"/>
      <c r="G27" s="15"/>
      <c r="H27" s="15"/>
      <c r="I27" s="15"/>
      <c r="J27" s="16"/>
      <c r="K27" s="17"/>
      <c r="L27" s="15"/>
      <c r="M27" s="27"/>
    </row>
    <row r="28" spans="1:13" x14ac:dyDescent="0.2">
      <c r="A28" s="32"/>
      <c r="B28" s="15"/>
      <c r="C28" s="15"/>
      <c r="D28" s="15"/>
      <c r="E28" s="15"/>
      <c r="F28" s="15"/>
      <c r="G28" s="15"/>
      <c r="H28" s="15"/>
      <c r="I28" s="15"/>
      <c r="J28" s="16"/>
      <c r="K28" s="17"/>
      <c r="L28" s="15"/>
      <c r="M28" s="27"/>
    </row>
    <row r="29" spans="1:13" x14ac:dyDescent="0.2">
      <c r="A29" s="32"/>
      <c r="B29" s="15"/>
      <c r="C29" s="15"/>
      <c r="D29" s="15"/>
      <c r="E29" s="15"/>
      <c r="F29" s="15"/>
      <c r="G29" s="15"/>
      <c r="H29" s="15"/>
      <c r="I29" s="15"/>
      <c r="J29" s="16"/>
      <c r="K29" s="17"/>
      <c r="L29" s="15"/>
      <c r="M29" s="27"/>
    </row>
    <row r="30" spans="1:13" x14ac:dyDescent="0.2">
      <c r="A30" s="32"/>
      <c r="B30" s="15"/>
      <c r="C30" s="15"/>
      <c r="D30" s="15"/>
      <c r="E30" s="15"/>
      <c r="F30" s="15"/>
      <c r="G30" s="15"/>
      <c r="H30" s="15"/>
      <c r="I30" s="15"/>
      <c r="J30" s="16"/>
      <c r="K30" s="17"/>
      <c r="L30" s="15"/>
      <c r="M30" s="27"/>
    </row>
    <row r="31" spans="1:13" x14ac:dyDescent="0.2">
      <c r="A31" s="32"/>
      <c r="B31" s="15"/>
      <c r="C31" s="15"/>
      <c r="D31" s="15"/>
      <c r="E31" s="15"/>
      <c r="F31" s="15"/>
      <c r="G31" s="15"/>
      <c r="H31" s="15"/>
      <c r="I31" s="15"/>
      <c r="J31" s="16"/>
      <c r="K31" s="17"/>
      <c r="L31" s="15"/>
      <c r="M31" s="27"/>
    </row>
    <row r="32" spans="1:13" x14ac:dyDescent="0.2">
      <c r="A32" s="32"/>
      <c r="B32" s="15"/>
      <c r="C32" s="15"/>
      <c r="D32" s="15"/>
      <c r="E32" s="15"/>
      <c r="F32" s="15"/>
      <c r="G32" s="15"/>
      <c r="H32" s="15"/>
      <c r="I32" s="15"/>
      <c r="J32" s="16"/>
      <c r="K32" s="17"/>
      <c r="L32" s="15"/>
      <c r="M32" s="27"/>
    </row>
    <row r="33" spans="1:14" x14ac:dyDescent="0.2">
      <c r="A33" s="32"/>
      <c r="B33" s="15"/>
      <c r="C33" s="15"/>
      <c r="D33" s="15"/>
      <c r="E33" s="15"/>
      <c r="F33" s="15"/>
      <c r="G33" s="15"/>
      <c r="H33" s="15"/>
      <c r="I33" s="15"/>
      <c r="J33" s="16"/>
      <c r="K33" s="17"/>
      <c r="L33" s="15"/>
      <c r="M33" s="27"/>
    </row>
    <row r="34" spans="1:14" x14ac:dyDescent="0.2">
      <c r="A34" s="32"/>
      <c r="B34" s="15"/>
      <c r="C34" s="15"/>
      <c r="D34" s="15"/>
      <c r="E34" s="15"/>
      <c r="F34" s="15"/>
      <c r="G34" s="15"/>
      <c r="H34" s="15"/>
      <c r="I34" s="15"/>
      <c r="J34" s="16"/>
      <c r="K34" s="17"/>
      <c r="L34" s="15"/>
      <c r="M34" s="27"/>
    </row>
    <row r="35" spans="1:14" x14ac:dyDescent="0.2">
      <c r="A35" s="32"/>
      <c r="B35" s="15"/>
      <c r="C35" s="15"/>
      <c r="D35" s="15"/>
      <c r="E35" s="15"/>
      <c r="F35" s="15"/>
      <c r="G35" s="15"/>
      <c r="H35" s="15"/>
      <c r="I35" s="15"/>
      <c r="J35" s="16"/>
      <c r="K35" s="17"/>
      <c r="L35" s="15"/>
      <c r="M35" s="27"/>
    </row>
    <row r="36" spans="1:14" x14ac:dyDescent="0.2">
      <c r="A36" s="35"/>
      <c r="B36" s="25"/>
      <c r="C36" s="25"/>
      <c r="D36" s="25"/>
      <c r="E36" s="25"/>
      <c r="F36" s="25"/>
      <c r="G36" s="25"/>
      <c r="H36" s="25"/>
      <c r="I36" s="25"/>
      <c r="J36" s="26"/>
      <c r="K36" s="25"/>
      <c r="L36" s="25"/>
      <c r="M36" s="28"/>
    </row>
    <row r="37" spans="1:14" x14ac:dyDescent="0.2">
      <c r="L37" s="21"/>
      <c r="M37" s="21"/>
      <c r="N37" s="21"/>
    </row>
    <row r="38" spans="1:14" x14ac:dyDescent="0.2">
      <c r="M38" s="21"/>
    </row>
    <row r="39" spans="1:14" x14ac:dyDescent="0.2">
      <c r="M39"/>
    </row>
    <row r="40" spans="1:14" x14ac:dyDescent="0.2">
      <c r="M40"/>
    </row>
    <row r="41" spans="1:14" x14ac:dyDescent="0.2">
      <c r="M41"/>
    </row>
    <row r="42" spans="1:14" x14ac:dyDescent="0.2">
      <c r="M42"/>
    </row>
    <row r="43" spans="1:14" x14ac:dyDescent="0.2">
      <c r="M43"/>
    </row>
    <row r="44" spans="1:14" x14ac:dyDescent="0.2">
      <c r="M44"/>
    </row>
    <row r="45" spans="1:14" x14ac:dyDescent="0.2">
      <c r="M45"/>
    </row>
    <row r="46" spans="1:14" x14ac:dyDescent="0.2">
      <c r="M46"/>
    </row>
    <row r="47" spans="1:14" x14ac:dyDescent="0.2">
      <c r="M47"/>
    </row>
    <row r="48" spans="1:14" x14ac:dyDescent="0.2">
      <c r="M48"/>
    </row>
    <row r="49" spans="13:13" x14ac:dyDescent="0.2">
      <c r="M49"/>
    </row>
    <row r="50" spans="13:13" x14ac:dyDescent="0.2">
      <c r="M50"/>
    </row>
    <row r="51" spans="13:13" x14ac:dyDescent="0.2">
      <c r="M51"/>
    </row>
    <row r="52" spans="13:13" x14ac:dyDescent="0.2">
      <c r="M52"/>
    </row>
    <row r="53" spans="13:13" x14ac:dyDescent="0.2">
      <c r="M53"/>
    </row>
    <row r="54" spans="13:13" x14ac:dyDescent="0.2">
      <c r="M54"/>
    </row>
    <row r="55" spans="13:13" x14ac:dyDescent="0.2">
      <c r="M55"/>
    </row>
    <row r="56" spans="13:13" x14ac:dyDescent="0.2">
      <c r="M56"/>
    </row>
    <row r="57" spans="13:13" x14ac:dyDescent="0.2">
      <c r="M57"/>
    </row>
    <row r="58" spans="13:13" x14ac:dyDescent="0.2">
      <c r="M58"/>
    </row>
    <row r="59" spans="13:13" x14ac:dyDescent="0.2">
      <c r="M59"/>
    </row>
    <row r="60" spans="13:13" x14ac:dyDescent="0.2">
      <c r="M60"/>
    </row>
    <row r="61" spans="13:13" x14ac:dyDescent="0.2">
      <c r="M61"/>
    </row>
    <row r="62" spans="13:13" x14ac:dyDescent="0.2">
      <c r="M62"/>
    </row>
    <row r="63" spans="13:13" x14ac:dyDescent="0.2">
      <c r="M63"/>
    </row>
    <row r="64" spans="13:13" x14ac:dyDescent="0.2">
      <c r="M64"/>
    </row>
    <row r="65" spans="13:13" x14ac:dyDescent="0.2">
      <c r="M65"/>
    </row>
    <row r="66" spans="13:13" x14ac:dyDescent="0.2">
      <c r="M66"/>
    </row>
    <row r="67" spans="13:13" x14ac:dyDescent="0.2">
      <c r="M67"/>
    </row>
    <row r="68" spans="13:13" x14ac:dyDescent="0.2">
      <c r="M68"/>
    </row>
    <row r="69" spans="13:13" x14ac:dyDescent="0.2">
      <c r="M69"/>
    </row>
    <row r="70" spans="13:13" x14ac:dyDescent="0.2">
      <c r="M70"/>
    </row>
    <row r="71" spans="13:13" x14ac:dyDescent="0.2">
      <c r="M71"/>
    </row>
    <row r="72" spans="13:13" x14ac:dyDescent="0.2">
      <c r="M72"/>
    </row>
    <row r="73" spans="13:13" x14ac:dyDescent="0.2">
      <c r="M73"/>
    </row>
    <row r="74" spans="13:13" x14ac:dyDescent="0.2">
      <c r="M74"/>
    </row>
    <row r="75" spans="13:13" x14ac:dyDescent="0.2">
      <c r="M75"/>
    </row>
    <row r="76" spans="13:13" x14ac:dyDescent="0.2">
      <c r="M76"/>
    </row>
    <row r="77" spans="13:13" x14ac:dyDescent="0.2">
      <c r="M77"/>
    </row>
    <row r="78" spans="13:13" x14ac:dyDescent="0.2">
      <c r="M78"/>
    </row>
    <row r="79" spans="13:13" x14ac:dyDescent="0.2">
      <c r="M79"/>
    </row>
    <row r="80" spans="13:13" x14ac:dyDescent="0.2">
      <c r="M80"/>
    </row>
    <row r="81" spans="13:13" x14ac:dyDescent="0.2">
      <c r="M81"/>
    </row>
    <row r="82" spans="13:13" x14ac:dyDescent="0.2">
      <c r="M82"/>
    </row>
    <row r="83" spans="13:13" x14ac:dyDescent="0.2">
      <c r="M83"/>
    </row>
    <row r="84" spans="13:13" x14ac:dyDescent="0.2">
      <c r="M84"/>
    </row>
    <row r="85" spans="13:13" x14ac:dyDescent="0.2">
      <c r="M85"/>
    </row>
    <row r="86" spans="13:13" x14ac:dyDescent="0.2">
      <c r="M86"/>
    </row>
    <row r="87" spans="13:13" x14ac:dyDescent="0.2">
      <c r="M87"/>
    </row>
    <row r="88" spans="13:13" x14ac:dyDescent="0.2">
      <c r="M88"/>
    </row>
    <row r="89" spans="13:13" x14ac:dyDescent="0.2">
      <c r="M89"/>
    </row>
    <row r="90" spans="13:13" x14ac:dyDescent="0.2">
      <c r="M90"/>
    </row>
    <row r="91" spans="13:13" x14ac:dyDescent="0.2">
      <c r="M91"/>
    </row>
    <row r="92" spans="13:13" x14ac:dyDescent="0.2">
      <c r="M92"/>
    </row>
    <row r="93" spans="13:13" x14ac:dyDescent="0.2">
      <c r="M93"/>
    </row>
    <row r="94" spans="13:13" x14ac:dyDescent="0.2">
      <c r="M94"/>
    </row>
    <row r="95" spans="13:13" x14ac:dyDescent="0.2">
      <c r="M95"/>
    </row>
    <row r="96" spans="13:13" x14ac:dyDescent="0.2">
      <c r="M96"/>
    </row>
    <row r="97" spans="13:13" x14ac:dyDescent="0.2">
      <c r="M97"/>
    </row>
    <row r="98" spans="13:13" x14ac:dyDescent="0.2">
      <c r="M98"/>
    </row>
    <row r="99" spans="13:13" x14ac:dyDescent="0.2">
      <c r="M99"/>
    </row>
    <row r="100" spans="13:13" x14ac:dyDescent="0.2">
      <c r="M100"/>
    </row>
    <row r="101" spans="13:13" x14ac:dyDescent="0.2">
      <c r="M101"/>
    </row>
    <row r="102" spans="13:13" x14ac:dyDescent="0.2">
      <c r="M102"/>
    </row>
    <row r="103" spans="13:13" x14ac:dyDescent="0.2">
      <c r="M103"/>
    </row>
    <row r="104" spans="13:13" x14ac:dyDescent="0.2">
      <c r="M104"/>
    </row>
    <row r="105" spans="13:13" x14ac:dyDescent="0.2">
      <c r="M105"/>
    </row>
    <row r="106" spans="13:13" x14ac:dyDescent="0.2">
      <c r="M106"/>
    </row>
    <row r="107" spans="13:13" x14ac:dyDescent="0.2">
      <c r="M107"/>
    </row>
    <row r="108" spans="13:13" x14ac:dyDescent="0.2">
      <c r="M108"/>
    </row>
    <row r="109" spans="13:13" x14ac:dyDescent="0.2">
      <c r="M109"/>
    </row>
    <row r="110" spans="13:13" x14ac:dyDescent="0.2">
      <c r="M110"/>
    </row>
    <row r="111" spans="13:13" x14ac:dyDescent="0.2">
      <c r="M111"/>
    </row>
    <row r="112" spans="13:13" x14ac:dyDescent="0.2">
      <c r="M112"/>
    </row>
    <row r="113" spans="13:13" x14ac:dyDescent="0.2">
      <c r="M113"/>
    </row>
    <row r="114" spans="13:13" x14ac:dyDescent="0.2">
      <c r="M114"/>
    </row>
    <row r="115" spans="13:13" x14ac:dyDescent="0.2">
      <c r="M115"/>
    </row>
    <row r="116" spans="13:13" x14ac:dyDescent="0.2">
      <c r="M116"/>
    </row>
    <row r="117" spans="13:13" x14ac:dyDescent="0.2">
      <c r="M117"/>
    </row>
    <row r="118" spans="13:13" x14ac:dyDescent="0.2">
      <c r="M118"/>
    </row>
    <row r="119" spans="13:13" x14ac:dyDescent="0.2">
      <c r="M119"/>
    </row>
    <row r="120" spans="13:13" x14ac:dyDescent="0.2">
      <c r="M120"/>
    </row>
    <row r="121" spans="13:13" x14ac:dyDescent="0.2">
      <c r="M121"/>
    </row>
    <row r="122" spans="13:13" x14ac:dyDescent="0.2">
      <c r="M122"/>
    </row>
    <row r="123" spans="13:13" x14ac:dyDescent="0.2">
      <c r="M123"/>
    </row>
    <row r="124" spans="13:13" x14ac:dyDescent="0.2">
      <c r="M124"/>
    </row>
    <row r="125" spans="13:13" x14ac:dyDescent="0.2">
      <c r="M125"/>
    </row>
    <row r="126" spans="13:13" x14ac:dyDescent="0.2">
      <c r="M126"/>
    </row>
    <row r="127" spans="13:13" x14ac:dyDescent="0.2">
      <c r="M127"/>
    </row>
    <row r="128" spans="13:13" x14ac:dyDescent="0.2">
      <c r="M128"/>
    </row>
    <row r="129" spans="13:13" x14ac:dyDescent="0.2">
      <c r="M129"/>
    </row>
    <row r="130" spans="13:13" x14ac:dyDescent="0.2">
      <c r="M130"/>
    </row>
    <row r="131" spans="13:13" x14ac:dyDescent="0.2">
      <c r="M131"/>
    </row>
    <row r="132" spans="13:13" x14ac:dyDescent="0.2">
      <c r="M132"/>
    </row>
    <row r="133" spans="13:13" x14ac:dyDescent="0.2">
      <c r="M133"/>
    </row>
    <row r="134" spans="13:13" x14ac:dyDescent="0.2">
      <c r="M134"/>
    </row>
    <row r="135" spans="13:13" x14ac:dyDescent="0.2">
      <c r="M135"/>
    </row>
    <row r="136" spans="13:13" x14ac:dyDescent="0.2">
      <c r="M136"/>
    </row>
    <row r="137" spans="13:13" x14ac:dyDescent="0.2">
      <c r="M137"/>
    </row>
    <row r="138" spans="13:13" x14ac:dyDescent="0.2">
      <c r="M138"/>
    </row>
    <row r="139" spans="13:13" x14ac:dyDescent="0.2">
      <c r="M139"/>
    </row>
    <row r="140" spans="13:13" x14ac:dyDescent="0.2">
      <c r="M140"/>
    </row>
    <row r="141" spans="13:13" x14ac:dyDescent="0.2">
      <c r="M141"/>
    </row>
    <row r="142" spans="13:13" x14ac:dyDescent="0.2">
      <c r="M142"/>
    </row>
    <row r="143" spans="13:13" x14ac:dyDescent="0.2">
      <c r="M143"/>
    </row>
    <row r="144" spans="13:13" x14ac:dyDescent="0.2">
      <c r="M144"/>
    </row>
    <row r="145" spans="13:13" x14ac:dyDescent="0.2">
      <c r="M145"/>
    </row>
    <row r="146" spans="13:13" x14ac:dyDescent="0.2">
      <c r="M146"/>
    </row>
    <row r="147" spans="13:13" x14ac:dyDescent="0.2">
      <c r="M147"/>
    </row>
    <row r="148" spans="13:13" x14ac:dyDescent="0.2">
      <c r="M148"/>
    </row>
    <row r="149" spans="13:13" x14ac:dyDescent="0.2">
      <c r="M149"/>
    </row>
    <row r="150" spans="13:13" x14ac:dyDescent="0.2">
      <c r="M150"/>
    </row>
    <row r="151" spans="13:13" x14ac:dyDescent="0.2">
      <c r="M151"/>
    </row>
    <row r="152" spans="13:13" x14ac:dyDescent="0.2">
      <c r="M152"/>
    </row>
    <row r="153" spans="13:13" x14ac:dyDescent="0.2">
      <c r="M153"/>
    </row>
    <row r="154" spans="13:13" x14ac:dyDescent="0.2">
      <c r="M154"/>
    </row>
    <row r="155" spans="13:13" x14ac:dyDescent="0.2">
      <c r="M155"/>
    </row>
    <row r="156" spans="13:13" x14ac:dyDescent="0.2">
      <c r="M156"/>
    </row>
    <row r="157" spans="13:13" x14ac:dyDescent="0.2">
      <c r="M157"/>
    </row>
    <row r="158" spans="13:13" x14ac:dyDescent="0.2">
      <c r="M158"/>
    </row>
    <row r="159" spans="13:13" x14ac:dyDescent="0.2">
      <c r="M159"/>
    </row>
    <row r="160" spans="13:13" x14ac:dyDescent="0.2">
      <c r="M160"/>
    </row>
    <row r="161" spans="13:13" x14ac:dyDescent="0.2">
      <c r="M161"/>
    </row>
    <row r="162" spans="13:13" x14ac:dyDescent="0.2">
      <c r="M162"/>
    </row>
    <row r="163" spans="13:13" x14ac:dyDescent="0.2">
      <c r="M163"/>
    </row>
    <row r="164" spans="13:13" x14ac:dyDescent="0.2">
      <c r="M164"/>
    </row>
    <row r="165" spans="13:13" x14ac:dyDescent="0.2">
      <c r="M165"/>
    </row>
    <row r="166" spans="13:13" x14ac:dyDescent="0.2">
      <c r="M166"/>
    </row>
    <row r="167" spans="13:13" x14ac:dyDescent="0.2">
      <c r="M167"/>
    </row>
    <row r="168" spans="13:13" x14ac:dyDescent="0.2">
      <c r="M168"/>
    </row>
    <row r="169" spans="13:13" x14ac:dyDescent="0.2">
      <c r="M169"/>
    </row>
    <row r="170" spans="13:13" x14ac:dyDescent="0.2">
      <c r="M170"/>
    </row>
    <row r="171" spans="13:13" x14ac:dyDescent="0.2">
      <c r="M171"/>
    </row>
    <row r="172" spans="13:13" x14ac:dyDescent="0.2">
      <c r="M172"/>
    </row>
    <row r="173" spans="13:13" x14ac:dyDescent="0.2">
      <c r="M173"/>
    </row>
    <row r="174" spans="13:13" x14ac:dyDescent="0.2">
      <c r="M174"/>
    </row>
    <row r="175" spans="13:13" x14ac:dyDescent="0.2">
      <c r="M175"/>
    </row>
    <row r="176" spans="13:13" x14ac:dyDescent="0.2">
      <c r="M176"/>
    </row>
    <row r="177" spans="13:13" x14ac:dyDescent="0.2">
      <c r="M177"/>
    </row>
    <row r="178" spans="13:13" x14ac:dyDescent="0.2">
      <c r="M178"/>
    </row>
    <row r="179" spans="13:13" x14ac:dyDescent="0.2">
      <c r="M179"/>
    </row>
    <row r="180" spans="13:13" x14ac:dyDescent="0.2">
      <c r="M180"/>
    </row>
    <row r="181" spans="13:13" x14ac:dyDescent="0.2">
      <c r="M181"/>
    </row>
    <row r="182" spans="13:13" x14ac:dyDescent="0.2">
      <c r="M182"/>
    </row>
    <row r="183" spans="13:13" x14ac:dyDescent="0.2">
      <c r="M183"/>
    </row>
    <row r="184" spans="13:13" x14ac:dyDescent="0.2">
      <c r="M184"/>
    </row>
    <row r="185" spans="13:13" x14ac:dyDescent="0.2">
      <c r="M185"/>
    </row>
    <row r="186" spans="13:13" x14ac:dyDescent="0.2">
      <c r="M186"/>
    </row>
    <row r="187" spans="13:13" x14ac:dyDescent="0.2">
      <c r="M187"/>
    </row>
    <row r="188" spans="13:13" x14ac:dyDescent="0.2">
      <c r="M188"/>
    </row>
    <row r="189" spans="13:13" x14ac:dyDescent="0.2">
      <c r="M189"/>
    </row>
    <row r="190" spans="13:13" x14ac:dyDescent="0.2">
      <c r="M190"/>
    </row>
    <row r="191" spans="13:13" x14ac:dyDescent="0.2">
      <c r="M191"/>
    </row>
    <row r="192" spans="13:13" x14ac:dyDescent="0.2">
      <c r="M192"/>
    </row>
    <row r="193" spans="13:13" x14ac:dyDescent="0.2">
      <c r="M193"/>
    </row>
    <row r="194" spans="13:13" x14ac:dyDescent="0.2">
      <c r="M194"/>
    </row>
    <row r="195" spans="13:13" x14ac:dyDescent="0.2">
      <c r="M195"/>
    </row>
    <row r="196" spans="13:13" x14ac:dyDescent="0.2">
      <c r="M196"/>
    </row>
    <row r="197" spans="13:13" x14ac:dyDescent="0.2">
      <c r="M197"/>
    </row>
    <row r="198" spans="13:13" x14ac:dyDescent="0.2">
      <c r="M198"/>
    </row>
    <row r="199" spans="13:13" x14ac:dyDescent="0.2">
      <c r="M199"/>
    </row>
    <row r="200" spans="13:13" x14ac:dyDescent="0.2">
      <c r="M200"/>
    </row>
    <row r="201" spans="13:13" x14ac:dyDescent="0.2">
      <c r="M201"/>
    </row>
    <row r="202" spans="13:13" x14ac:dyDescent="0.2">
      <c r="M202"/>
    </row>
    <row r="203" spans="13:13" x14ac:dyDescent="0.2">
      <c r="M203"/>
    </row>
    <row r="204" spans="13:13" x14ac:dyDescent="0.2">
      <c r="M204"/>
    </row>
    <row r="205" spans="13:13" x14ac:dyDescent="0.2">
      <c r="M205"/>
    </row>
    <row r="206" spans="13:13" x14ac:dyDescent="0.2">
      <c r="M206"/>
    </row>
    <row r="207" spans="13:13" x14ac:dyDescent="0.2">
      <c r="M207"/>
    </row>
    <row r="208" spans="13:13" x14ac:dyDescent="0.2">
      <c r="M208"/>
    </row>
    <row r="209" spans="13:13" x14ac:dyDescent="0.2">
      <c r="M209"/>
    </row>
    <row r="210" spans="13:13" x14ac:dyDescent="0.2">
      <c r="M210"/>
    </row>
    <row r="211" spans="13:13" x14ac:dyDescent="0.2">
      <c r="M211"/>
    </row>
    <row r="212" spans="13:13" x14ac:dyDescent="0.2">
      <c r="M212"/>
    </row>
    <row r="213" spans="13:13" x14ac:dyDescent="0.2">
      <c r="M213"/>
    </row>
    <row r="214" spans="13:13" x14ac:dyDescent="0.2">
      <c r="M214"/>
    </row>
    <row r="215" spans="13:13" x14ac:dyDescent="0.2">
      <c r="M215"/>
    </row>
    <row r="216" spans="13:13" x14ac:dyDescent="0.2">
      <c r="M216"/>
    </row>
    <row r="217" spans="13:13" x14ac:dyDescent="0.2">
      <c r="M217"/>
    </row>
    <row r="218" spans="13:13" x14ac:dyDescent="0.2">
      <c r="M218"/>
    </row>
    <row r="219" spans="13:13" x14ac:dyDescent="0.2">
      <c r="M219"/>
    </row>
    <row r="220" spans="13:13" x14ac:dyDescent="0.2">
      <c r="M220"/>
    </row>
    <row r="221" spans="13:13" x14ac:dyDescent="0.2">
      <c r="M221"/>
    </row>
    <row r="222" spans="13:13" x14ac:dyDescent="0.2">
      <c r="M222"/>
    </row>
    <row r="223" spans="13:13" x14ac:dyDescent="0.2">
      <c r="M223"/>
    </row>
    <row r="224" spans="13:13" x14ac:dyDescent="0.2">
      <c r="M224"/>
    </row>
    <row r="225" spans="13:13" x14ac:dyDescent="0.2">
      <c r="M225"/>
    </row>
    <row r="226" spans="13:13" x14ac:dyDescent="0.2">
      <c r="M226"/>
    </row>
    <row r="227" spans="13:13" x14ac:dyDescent="0.2">
      <c r="M227"/>
    </row>
    <row r="228" spans="13:13" x14ac:dyDescent="0.2">
      <c r="M228"/>
    </row>
    <row r="229" spans="13:13" x14ac:dyDescent="0.2">
      <c r="M229"/>
    </row>
    <row r="230" spans="13:13" x14ac:dyDescent="0.2">
      <c r="M230"/>
    </row>
    <row r="231" spans="13:13" x14ac:dyDescent="0.2">
      <c r="M231"/>
    </row>
    <row r="232" spans="13:13" x14ac:dyDescent="0.2">
      <c r="M232"/>
    </row>
    <row r="233" spans="13:13" x14ac:dyDescent="0.2">
      <c r="M233"/>
    </row>
    <row r="234" spans="13:13" x14ac:dyDescent="0.2">
      <c r="M234"/>
    </row>
    <row r="235" spans="13:13" x14ac:dyDescent="0.2">
      <c r="M235"/>
    </row>
    <row r="236" spans="13:13" x14ac:dyDescent="0.2">
      <c r="M236"/>
    </row>
    <row r="237" spans="13:13" x14ac:dyDescent="0.2">
      <c r="M237"/>
    </row>
    <row r="238" spans="13:13" x14ac:dyDescent="0.2">
      <c r="M238"/>
    </row>
    <row r="239" spans="13:13" x14ac:dyDescent="0.2">
      <c r="M239"/>
    </row>
    <row r="240" spans="13:13" x14ac:dyDescent="0.2">
      <c r="M240"/>
    </row>
    <row r="241" spans="13:13" x14ac:dyDescent="0.2">
      <c r="M241"/>
    </row>
    <row r="242" spans="13:13" x14ac:dyDescent="0.2">
      <c r="M242"/>
    </row>
    <row r="243" spans="13:13" x14ac:dyDescent="0.2">
      <c r="M243"/>
    </row>
    <row r="244" spans="13:13" x14ac:dyDescent="0.2">
      <c r="M244"/>
    </row>
    <row r="245" spans="13:13" x14ac:dyDescent="0.2">
      <c r="M245"/>
    </row>
    <row r="246" spans="13:13" x14ac:dyDescent="0.2">
      <c r="M246"/>
    </row>
    <row r="247" spans="13:13" x14ac:dyDescent="0.2">
      <c r="M247"/>
    </row>
    <row r="248" spans="13:13" x14ac:dyDescent="0.2">
      <c r="M248"/>
    </row>
    <row r="249" spans="13:13" x14ac:dyDescent="0.2">
      <c r="M249"/>
    </row>
    <row r="250" spans="13:13" x14ac:dyDescent="0.2">
      <c r="M250"/>
    </row>
    <row r="251" spans="13:13" x14ac:dyDescent="0.2">
      <c r="M251"/>
    </row>
    <row r="252" spans="13:13" x14ac:dyDescent="0.2">
      <c r="M252"/>
    </row>
    <row r="253" spans="13:13" x14ac:dyDescent="0.2">
      <c r="M253"/>
    </row>
    <row r="254" spans="13:13" x14ac:dyDescent="0.2">
      <c r="M254"/>
    </row>
    <row r="255" spans="13:13" x14ac:dyDescent="0.2">
      <c r="M255"/>
    </row>
    <row r="256" spans="13:13" x14ac:dyDescent="0.2">
      <c r="M256"/>
    </row>
    <row r="257" spans="13:13" x14ac:dyDescent="0.2">
      <c r="M257"/>
    </row>
    <row r="258" spans="13:13" x14ac:dyDescent="0.2">
      <c r="M258"/>
    </row>
    <row r="259" spans="13:13" x14ac:dyDescent="0.2">
      <c r="M259"/>
    </row>
    <row r="260" spans="13:13" x14ac:dyDescent="0.2">
      <c r="M260"/>
    </row>
    <row r="261" spans="13:13" x14ac:dyDescent="0.2">
      <c r="M261"/>
    </row>
    <row r="262" spans="13:13" x14ac:dyDescent="0.2">
      <c r="M262"/>
    </row>
    <row r="263" spans="13:13" x14ac:dyDescent="0.2">
      <c r="M263"/>
    </row>
    <row r="264" spans="13:13" x14ac:dyDescent="0.2">
      <c r="M264"/>
    </row>
    <row r="265" spans="13:13" x14ac:dyDescent="0.2">
      <c r="M265"/>
    </row>
    <row r="266" spans="13:13" x14ac:dyDescent="0.2">
      <c r="M266"/>
    </row>
    <row r="267" spans="13:13" x14ac:dyDescent="0.2">
      <c r="M267"/>
    </row>
    <row r="268" spans="13:13" x14ac:dyDescent="0.2">
      <c r="M268"/>
    </row>
    <row r="269" spans="13:13" x14ac:dyDescent="0.2">
      <c r="M269"/>
    </row>
    <row r="270" spans="13:13" x14ac:dyDescent="0.2">
      <c r="M270"/>
    </row>
    <row r="271" spans="13:13" x14ac:dyDescent="0.2">
      <c r="M271"/>
    </row>
    <row r="272" spans="13:13" x14ac:dyDescent="0.2">
      <c r="M272"/>
    </row>
    <row r="273" spans="13:13" x14ac:dyDescent="0.2">
      <c r="M273"/>
    </row>
    <row r="274" spans="13:13" x14ac:dyDescent="0.2">
      <c r="M274"/>
    </row>
    <row r="275" spans="13:13" x14ac:dyDescent="0.2">
      <c r="M275"/>
    </row>
    <row r="276" spans="13:13" x14ac:dyDescent="0.2">
      <c r="M276"/>
    </row>
    <row r="277" spans="13:13" x14ac:dyDescent="0.2">
      <c r="M277"/>
    </row>
    <row r="278" spans="13:13" x14ac:dyDescent="0.2">
      <c r="M278"/>
    </row>
    <row r="279" spans="13:13" x14ac:dyDescent="0.2">
      <c r="M279"/>
    </row>
    <row r="280" spans="13:13" x14ac:dyDescent="0.2">
      <c r="M280"/>
    </row>
    <row r="281" spans="13:13" x14ac:dyDescent="0.2">
      <c r="M281"/>
    </row>
    <row r="282" spans="13:13" x14ac:dyDescent="0.2">
      <c r="M282"/>
    </row>
    <row r="283" spans="13:13" x14ac:dyDescent="0.2">
      <c r="M283"/>
    </row>
    <row r="284" spans="13:13" x14ac:dyDescent="0.2">
      <c r="M284"/>
    </row>
    <row r="285" spans="13:13" x14ac:dyDescent="0.2">
      <c r="M285"/>
    </row>
    <row r="286" spans="13:13" x14ac:dyDescent="0.2">
      <c r="M286"/>
    </row>
    <row r="287" spans="13:13" x14ac:dyDescent="0.2">
      <c r="M287"/>
    </row>
    <row r="288" spans="13:13" x14ac:dyDescent="0.2">
      <c r="M288"/>
    </row>
    <row r="289" spans="13:13" x14ac:dyDescent="0.2">
      <c r="M289"/>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Macro1">
                <anchor moveWithCells="1">
                  <from>
                    <xdr:col>1</xdr:col>
                    <xdr:colOff>590550</xdr:colOff>
                    <xdr:row>4</xdr:row>
                    <xdr:rowOff>114300</xdr:rowOff>
                  </from>
                  <to>
                    <xdr:col>2</xdr:col>
                    <xdr:colOff>466725</xdr:colOff>
                    <xdr:row>6</xdr:row>
                    <xdr:rowOff>66675</xdr:rowOff>
                  </to>
                </anchor>
              </controlPr>
            </control>
          </mc:Choice>
        </mc:AlternateContent>
        <mc:AlternateContent xmlns:mc="http://schemas.openxmlformats.org/markup-compatibility/2006">
          <mc:Choice Requires="x14">
            <control shapeId="1026" r:id="rId9" name="Check Box 2">
              <controlPr defaultSize="0" autoFill="0" autoLine="0" autoPict="0" macro="[0]!Macro1">
                <anchor moveWithCells="1">
                  <from>
                    <xdr:col>4</xdr:col>
                    <xdr:colOff>523875</xdr:colOff>
                    <xdr:row>4</xdr:row>
                    <xdr:rowOff>114300</xdr:rowOff>
                  </from>
                  <to>
                    <xdr:col>5</xdr:col>
                    <xdr:colOff>923925</xdr:colOff>
                    <xdr:row>6</xdr:row>
                    <xdr:rowOff>95250</xdr:rowOff>
                  </to>
                </anchor>
              </controlPr>
            </control>
          </mc:Choice>
        </mc:AlternateContent>
        <mc:AlternateContent xmlns:mc="http://schemas.openxmlformats.org/markup-compatibility/2006">
          <mc:Choice Requires="x14">
            <control shapeId="1027" r:id="rId10" name="Check Box 3">
              <controlPr defaultSize="0" autoFill="0" autoLine="0" autoPict="0" macro="[0]!Macro1">
                <anchor moveWithCells="1">
                  <from>
                    <xdr:col>7</xdr:col>
                    <xdr:colOff>361950</xdr:colOff>
                    <xdr:row>4</xdr:row>
                    <xdr:rowOff>114300</xdr:rowOff>
                  </from>
                  <to>
                    <xdr:col>8</xdr:col>
                    <xdr:colOff>552450</xdr:colOff>
                    <xdr:row>6</xdr:row>
                    <xdr:rowOff>76200</xdr:rowOff>
                  </to>
                </anchor>
              </controlPr>
            </control>
          </mc:Choice>
        </mc:AlternateContent>
        <mc:AlternateContent xmlns:mc="http://schemas.openxmlformats.org/markup-compatibility/2006">
          <mc:Choice Requires="x14">
            <control shapeId="1028" r:id="rId11" name="Check Box 4">
              <controlPr defaultSize="0" autoFill="0" autoLine="0" autoPict="0" macro="[0]!Macro1">
                <anchor moveWithCells="1">
                  <from>
                    <xdr:col>10</xdr:col>
                    <xdr:colOff>523875</xdr:colOff>
                    <xdr:row>4</xdr:row>
                    <xdr:rowOff>123825</xdr:rowOff>
                  </from>
                  <to>
                    <xdr:col>11</xdr:col>
                    <xdr:colOff>638175</xdr:colOff>
                    <xdr:row>6</xdr:row>
                    <xdr:rowOff>95250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Source Data</vt:lpstr>
      <vt:lpstr>Sales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Adesh Mekhe</dc:creator>
  <cp:lastModifiedBy>AIBA 11</cp:lastModifiedBy>
  <dcterms:created xsi:type="dcterms:W3CDTF">2025-11-25T16:44:15Z</dcterms:created>
  <dcterms:modified xsi:type="dcterms:W3CDTF">2025-12-27T05:55:52Z</dcterms:modified>
</cp:coreProperties>
</file>